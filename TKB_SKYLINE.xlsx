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ylineschooleduvn-my.sharepoint.com/personal/longtt_skylineschool_edu_vn/Documents/"/>
    </mc:Choice>
  </mc:AlternateContent>
  <xr:revisionPtr revIDLastSave="0" documentId="8_{20BECC2A-3A6F-48C3-942F-0AB5C45A8D9B}" xr6:coauthVersionLast="47" xr6:coauthVersionMax="47" xr10:uidLastSave="{00000000-0000-0000-0000-000000000000}"/>
  <bookViews>
    <workbookView minimized="1" xWindow="7545" yWindow="4560" windowWidth="21600" windowHeight="11385" xr2:uid="{00000000-000D-0000-FFFF-FFFF00000000}"/>
  </bookViews>
  <sheets>
    <sheet name="Trang_tính1" sheetId="1" r:id="rId1"/>
  </sheets>
  <definedNames>
    <definedName name="_xlnm._FilterDatabase" localSheetId="0" hidden="1">Trang_tính1!$A$7:$FH$78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56" i="1" l="1"/>
  <c r="CH54" i="1"/>
  <c r="CH53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8" i="1"/>
  <c r="CE54" i="1"/>
  <c r="CB54" i="1"/>
  <c r="BY54" i="1"/>
  <c r="BV54" i="1"/>
  <c r="BS54" i="1"/>
  <c r="BJ60" i="1"/>
  <c r="BP54" i="1"/>
  <c r="CH55" i="1"/>
  <c r="DC54" i="1"/>
  <c r="CZ54" i="1"/>
  <c r="CW54" i="1"/>
  <c r="CT54" i="1"/>
  <c r="CQ54" i="1"/>
  <c r="CN54" i="1"/>
  <c r="CK54" i="1"/>
  <c r="BM54" i="1"/>
  <c r="BJ54" i="1"/>
  <c r="K54" i="1"/>
  <c r="H54" i="1"/>
  <c r="E54" i="1"/>
  <c r="EK9" i="1"/>
  <c r="EK10" i="1"/>
  <c r="EK11" i="1"/>
  <c r="EK12" i="1"/>
  <c r="EK13" i="1"/>
  <c r="EK14" i="1"/>
  <c r="EK15" i="1"/>
  <c r="EK16" i="1"/>
  <c r="EK17" i="1"/>
  <c r="EK18" i="1"/>
  <c r="EK19" i="1"/>
  <c r="EK20" i="1"/>
  <c r="EK21" i="1"/>
  <c r="EK22" i="1"/>
  <c r="EK23" i="1"/>
  <c r="EK24" i="1"/>
  <c r="EK25" i="1"/>
  <c r="EK26" i="1"/>
  <c r="EK27" i="1"/>
  <c r="EK28" i="1"/>
  <c r="EK29" i="1"/>
  <c r="EK30" i="1"/>
  <c r="EK31" i="1"/>
  <c r="EK32" i="1"/>
  <c r="EK33" i="1"/>
  <c r="EK34" i="1"/>
  <c r="EK35" i="1"/>
  <c r="EK36" i="1"/>
  <c r="EK37" i="1"/>
  <c r="EK38" i="1"/>
  <c r="EK39" i="1"/>
  <c r="EK40" i="1"/>
  <c r="EK41" i="1"/>
  <c r="EK42" i="1"/>
  <c r="EK43" i="1"/>
  <c r="EK44" i="1"/>
  <c r="EK45" i="1"/>
  <c r="EK46" i="1"/>
  <c r="EK47" i="1"/>
  <c r="EK48" i="1"/>
  <c r="EK49" i="1"/>
  <c r="EK50" i="1"/>
  <c r="EK51" i="1"/>
  <c r="EK8" i="1"/>
  <c r="FM9" i="1"/>
  <c r="FM10" i="1"/>
  <c r="FM11" i="1"/>
  <c r="FM12" i="1"/>
  <c r="FM13" i="1"/>
  <c r="FM14" i="1"/>
  <c r="FM15" i="1"/>
  <c r="FM16" i="1"/>
  <c r="FM17" i="1"/>
  <c r="FM18" i="1"/>
  <c r="FM19" i="1"/>
  <c r="FM20" i="1"/>
  <c r="FM21" i="1"/>
  <c r="FM22" i="1"/>
  <c r="FM23" i="1"/>
  <c r="FM24" i="1"/>
  <c r="FM25" i="1"/>
  <c r="FM26" i="1"/>
  <c r="FM27" i="1"/>
  <c r="FM28" i="1"/>
  <c r="FM29" i="1"/>
  <c r="FM30" i="1"/>
  <c r="FM31" i="1"/>
  <c r="FM32" i="1"/>
  <c r="FM33" i="1"/>
  <c r="FM34" i="1"/>
  <c r="FM35" i="1"/>
  <c r="FM36" i="1"/>
  <c r="FM37" i="1"/>
  <c r="FM38" i="1"/>
  <c r="FM39" i="1"/>
  <c r="FM40" i="1"/>
  <c r="FM41" i="1"/>
  <c r="FM42" i="1"/>
  <c r="FM43" i="1"/>
  <c r="FM44" i="1"/>
  <c r="FM45" i="1"/>
  <c r="FM46" i="1"/>
  <c r="FM47" i="1"/>
  <c r="FM48" i="1"/>
  <c r="FM49" i="1"/>
  <c r="FM50" i="1"/>
  <c r="FM51" i="1"/>
  <c r="FM8" i="1"/>
  <c r="FJ9" i="1"/>
  <c r="FJ10" i="1"/>
  <c r="FJ11" i="1"/>
  <c r="FJ12" i="1"/>
  <c r="FJ13" i="1"/>
  <c r="FJ14" i="1"/>
  <c r="FJ15" i="1"/>
  <c r="FJ16" i="1"/>
  <c r="FJ17" i="1"/>
  <c r="FJ18" i="1"/>
  <c r="FJ19" i="1"/>
  <c r="FJ20" i="1"/>
  <c r="FJ21" i="1"/>
  <c r="FJ22" i="1"/>
  <c r="FJ23" i="1"/>
  <c r="FJ24" i="1"/>
  <c r="FJ25" i="1"/>
  <c r="FJ26" i="1"/>
  <c r="FJ27" i="1"/>
  <c r="FJ28" i="1"/>
  <c r="FJ29" i="1"/>
  <c r="FJ30" i="1"/>
  <c r="FJ31" i="1"/>
  <c r="FJ32" i="1"/>
  <c r="FJ33" i="1"/>
  <c r="FJ34" i="1"/>
  <c r="FJ35" i="1"/>
  <c r="FJ36" i="1"/>
  <c r="FJ37" i="1"/>
  <c r="FJ38" i="1"/>
  <c r="FJ39" i="1"/>
  <c r="FJ40" i="1"/>
  <c r="FJ41" i="1"/>
  <c r="FJ42" i="1"/>
  <c r="FJ43" i="1"/>
  <c r="FJ44" i="1"/>
  <c r="FJ45" i="1"/>
  <c r="FJ46" i="1"/>
  <c r="FJ47" i="1"/>
  <c r="FJ48" i="1"/>
  <c r="FJ49" i="1"/>
  <c r="FJ50" i="1"/>
  <c r="FJ51" i="1"/>
  <c r="FJ8" i="1"/>
  <c r="EW9" i="1"/>
  <c r="EW10" i="1"/>
  <c r="EW11" i="1"/>
  <c r="EW12" i="1"/>
  <c r="EW13" i="1"/>
  <c r="EW14" i="1"/>
  <c r="EW15" i="1"/>
  <c r="EW16" i="1"/>
  <c r="EW17" i="1"/>
  <c r="EW18" i="1"/>
  <c r="EW19" i="1"/>
  <c r="EW20" i="1"/>
  <c r="EW21" i="1"/>
  <c r="EW22" i="1"/>
  <c r="EW23" i="1"/>
  <c r="EW24" i="1"/>
  <c r="EW25" i="1"/>
  <c r="EW26" i="1"/>
  <c r="EW27" i="1"/>
  <c r="EW28" i="1"/>
  <c r="EW29" i="1"/>
  <c r="EW30" i="1"/>
  <c r="EW31" i="1"/>
  <c r="EW32" i="1"/>
  <c r="EW33" i="1"/>
  <c r="EW34" i="1"/>
  <c r="EW35" i="1"/>
  <c r="EW36" i="1"/>
  <c r="EW37" i="1"/>
  <c r="EW38" i="1"/>
  <c r="EW39" i="1"/>
  <c r="EW40" i="1"/>
  <c r="EW41" i="1"/>
  <c r="EW42" i="1"/>
  <c r="EW43" i="1"/>
  <c r="EW44" i="1"/>
  <c r="EW45" i="1"/>
  <c r="EW46" i="1"/>
  <c r="EW47" i="1"/>
  <c r="EW48" i="1"/>
  <c r="EW49" i="1"/>
  <c r="EW50" i="1"/>
  <c r="EW51" i="1"/>
  <c r="EW8" i="1"/>
  <c r="EV9" i="1"/>
  <c r="EV10" i="1"/>
  <c r="EV11" i="1"/>
  <c r="EV12" i="1"/>
  <c r="EV13" i="1"/>
  <c r="EV14" i="1"/>
  <c r="EV15" i="1"/>
  <c r="EV16" i="1"/>
  <c r="EV17" i="1"/>
  <c r="EV18" i="1"/>
  <c r="EV19" i="1"/>
  <c r="EV20" i="1"/>
  <c r="EV21" i="1"/>
  <c r="EV22" i="1"/>
  <c r="EV23" i="1"/>
  <c r="EV24" i="1"/>
  <c r="EV25" i="1"/>
  <c r="EV26" i="1"/>
  <c r="EV27" i="1"/>
  <c r="EV28" i="1"/>
  <c r="EV29" i="1"/>
  <c r="EV30" i="1"/>
  <c r="EV31" i="1"/>
  <c r="EV32" i="1"/>
  <c r="EV33" i="1"/>
  <c r="EV34" i="1"/>
  <c r="EV35" i="1"/>
  <c r="EV36" i="1"/>
  <c r="EV37" i="1"/>
  <c r="EV38" i="1"/>
  <c r="EV39" i="1"/>
  <c r="EV40" i="1"/>
  <c r="EV41" i="1"/>
  <c r="EV42" i="1"/>
  <c r="EV43" i="1"/>
  <c r="EV44" i="1"/>
  <c r="EV45" i="1"/>
  <c r="EV46" i="1"/>
  <c r="EV47" i="1"/>
  <c r="EV48" i="1"/>
  <c r="EV49" i="1"/>
  <c r="EV50" i="1"/>
  <c r="EV51" i="1"/>
  <c r="EV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8" i="1"/>
  <c r="DY9" i="1"/>
  <c r="DY10" i="1"/>
  <c r="DY11" i="1"/>
  <c r="DY12" i="1"/>
  <c r="DY13" i="1"/>
  <c r="DY14" i="1"/>
  <c r="DY15" i="1"/>
  <c r="DY16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51" i="1"/>
  <c r="DY8" i="1"/>
  <c r="CH64" i="1"/>
  <c r="DW9" i="1"/>
  <c r="DW10" i="1"/>
  <c r="DW11" i="1"/>
  <c r="DW12" i="1"/>
  <c r="DW13" i="1"/>
  <c r="DW14" i="1"/>
  <c r="DW15" i="1"/>
  <c r="DW16" i="1"/>
  <c r="DW17" i="1"/>
  <c r="DW18" i="1"/>
  <c r="DW19" i="1"/>
  <c r="DW20" i="1"/>
  <c r="DW21" i="1"/>
  <c r="DW22" i="1"/>
  <c r="DW23" i="1"/>
  <c r="DW24" i="1"/>
  <c r="DW25" i="1"/>
  <c r="DW26" i="1"/>
  <c r="DW27" i="1"/>
  <c r="DW28" i="1"/>
  <c r="DW29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46" i="1"/>
  <c r="DW47" i="1"/>
  <c r="DW48" i="1"/>
  <c r="DW49" i="1"/>
  <c r="DW50" i="1"/>
  <c r="DW51" i="1"/>
  <c r="DW8" i="1"/>
  <c r="CN57" i="1"/>
  <c r="CK58" i="1"/>
  <c r="CK57" i="1"/>
  <c r="CH57" i="1"/>
  <c r="CN55" i="1"/>
  <c r="CN52" i="1"/>
  <c r="CH52" i="1"/>
  <c r="CL78" i="1"/>
  <c r="CM78" i="1"/>
  <c r="CO78" i="1"/>
  <c r="CP78" i="1"/>
  <c r="CK55" i="1"/>
  <c r="CK52" i="1"/>
  <c r="BG53" i="1"/>
  <c r="BG54" i="1"/>
  <c r="BG55" i="1"/>
  <c r="BD52" i="1"/>
  <c r="BD53" i="1"/>
  <c r="BD54" i="1"/>
  <c r="BD55" i="1"/>
  <c r="BA53" i="1"/>
  <c r="BA54" i="1"/>
  <c r="BA55" i="1"/>
  <c r="AX53" i="1"/>
  <c r="AX54" i="1"/>
  <c r="AX55" i="1"/>
  <c r="AU55" i="1"/>
  <c r="AU54" i="1"/>
  <c r="AU53" i="1"/>
  <c r="AR53" i="1"/>
  <c r="AR54" i="1"/>
  <c r="AR55" i="1"/>
  <c r="AO53" i="1"/>
  <c r="AO54" i="1"/>
  <c r="AO55" i="1"/>
  <c r="AL53" i="1"/>
  <c r="AL54" i="1"/>
  <c r="AL55" i="1"/>
  <c r="AI55" i="1"/>
  <c r="Z52" i="1"/>
  <c r="AI53" i="1"/>
  <c r="AI54" i="1"/>
  <c r="AF53" i="1"/>
  <c r="AF54" i="1"/>
  <c r="AC53" i="1"/>
  <c r="AC54" i="1"/>
  <c r="Z53" i="1"/>
  <c r="Z54" i="1"/>
  <c r="W53" i="1"/>
  <c r="W54" i="1"/>
  <c r="T53" i="1"/>
  <c r="T54" i="1"/>
  <c r="Q53" i="1"/>
  <c r="Q54" i="1"/>
  <c r="N54" i="1"/>
  <c r="N53" i="1"/>
  <c r="H55" i="1"/>
  <c r="E55" i="1"/>
  <c r="K55" i="1"/>
  <c r="U4" i="1"/>
  <c r="T4" i="1"/>
  <c r="EA9" i="1"/>
  <c r="EA10" i="1"/>
  <c r="EA11" i="1"/>
  <c r="EA12" i="1"/>
  <c r="EA13" i="1"/>
  <c r="EA14" i="1"/>
  <c r="EA15" i="1"/>
  <c r="EA16" i="1"/>
  <c r="EA17" i="1"/>
  <c r="EA18" i="1"/>
  <c r="EA19" i="1"/>
  <c r="EA20" i="1"/>
  <c r="EA21" i="1"/>
  <c r="EA22" i="1"/>
  <c r="EA23" i="1"/>
  <c r="EA24" i="1"/>
  <c r="EA25" i="1"/>
  <c r="EA26" i="1"/>
  <c r="EA27" i="1"/>
  <c r="EA28" i="1"/>
  <c r="EA29" i="1"/>
  <c r="EA30" i="1"/>
  <c r="EA31" i="1"/>
  <c r="EA32" i="1"/>
  <c r="EA33" i="1"/>
  <c r="EA34" i="1"/>
  <c r="EA35" i="1"/>
  <c r="EA36" i="1"/>
  <c r="EA37" i="1"/>
  <c r="EA38" i="1"/>
  <c r="EA39" i="1"/>
  <c r="EA40" i="1"/>
  <c r="EA41" i="1"/>
  <c r="EA42" i="1"/>
  <c r="EA43" i="1"/>
  <c r="EA44" i="1"/>
  <c r="EA45" i="1"/>
  <c r="EA46" i="1"/>
  <c r="EA47" i="1"/>
  <c r="EA48" i="1"/>
  <c r="EA49" i="1"/>
  <c r="EA50" i="1"/>
  <c r="EA51" i="1"/>
  <c r="EA8" i="1"/>
  <c r="EE9" i="1"/>
  <c r="EE10" i="1"/>
  <c r="EE11" i="1"/>
  <c r="EE12" i="1"/>
  <c r="EE13" i="1"/>
  <c r="EE14" i="1"/>
  <c r="EE15" i="1"/>
  <c r="EE16" i="1"/>
  <c r="EE17" i="1"/>
  <c r="EE18" i="1"/>
  <c r="EE19" i="1"/>
  <c r="EE20" i="1"/>
  <c r="EE21" i="1"/>
  <c r="EE22" i="1"/>
  <c r="EE23" i="1"/>
  <c r="EE24" i="1"/>
  <c r="EE25" i="1"/>
  <c r="EE26" i="1"/>
  <c r="EE27" i="1"/>
  <c r="EE28" i="1"/>
  <c r="EE29" i="1"/>
  <c r="EE30" i="1"/>
  <c r="EE31" i="1"/>
  <c r="EE32" i="1"/>
  <c r="EE33" i="1"/>
  <c r="EE34" i="1"/>
  <c r="EE35" i="1"/>
  <c r="EE36" i="1"/>
  <c r="EE37" i="1"/>
  <c r="EE38" i="1"/>
  <c r="EE39" i="1"/>
  <c r="EE40" i="1"/>
  <c r="EE41" i="1"/>
  <c r="EE42" i="1"/>
  <c r="EE43" i="1"/>
  <c r="EE44" i="1"/>
  <c r="EE45" i="1"/>
  <c r="EE46" i="1"/>
  <c r="EE47" i="1"/>
  <c r="EE48" i="1"/>
  <c r="EE49" i="1"/>
  <c r="EE50" i="1"/>
  <c r="EE51" i="1"/>
  <c r="EE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8" i="1"/>
  <c r="AX64" i="1"/>
  <c r="BG64" i="1"/>
  <c r="CK64" i="1"/>
  <c r="BA64" i="1"/>
  <c r="EU9" i="1"/>
  <c r="EU10" i="1"/>
  <c r="EU11" i="1"/>
  <c r="EU12" i="1"/>
  <c r="EU13" i="1"/>
  <c r="EU14" i="1"/>
  <c r="EU15" i="1"/>
  <c r="EU16" i="1"/>
  <c r="EU17" i="1"/>
  <c r="EU18" i="1"/>
  <c r="EU19" i="1"/>
  <c r="EU20" i="1"/>
  <c r="EU21" i="1"/>
  <c r="EU22" i="1"/>
  <c r="EU23" i="1"/>
  <c r="EU24" i="1"/>
  <c r="EU25" i="1"/>
  <c r="EU26" i="1"/>
  <c r="EU27" i="1"/>
  <c r="EU28" i="1"/>
  <c r="EU29" i="1"/>
  <c r="EU30" i="1"/>
  <c r="EU31" i="1"/>
  <c r="EU32" i="1"/>
  <c r="EU33" i="1"/>
  <c r="EU34" i="1"/>
  <c r="EU35" i="1"/>
  <c r="EU36" i="1"/>
  <c r="EU37" i="1"/>
  <c r="EU38" i="1"/>
  <c r="EU39" i="1"/>
  <c r="EU40" i="1"/>
  <c r="EU41" i="1"/>
  <c r="EU42" i="1"/>
  <c r="EU43" i="1"/>
  <c r="EU44" i="1"/>
  <c r="EU45" i="1"/>
  <c r="EU46" i="1"/>
  <c r="EU47" i="1"/>
  <c r="EU48" i="1"/>
  <c r="EU49" i="1"/>
  <c r="EU50" i="1"/>
  <c r="EU51" i="1"/>
  <c r="EU8" i="1"/>
  <c r="EQ9" i="1"/>
  <c r="EQ10" i="1"/>
  <c r="EQ11" i="1"/>
  <c r="EQ12" i="1"/>
  <c r="EQ13" i="1"/>
  <c r="EQ14" i="1"/>
  <c r="EQ15" i="1"/>
  <c r="EQ16" i="1"/>
  <c r="EQ17" i="1"/>
  <c r="EQ18" i="1"/>
  <c r="EQ19" i="1"/>
  <c r="EQ20" i="1"/>
  <c r="EQ21" i="1"/>
  <c r="EQ22" i="1"/>
  <c r="EQ23" i="1"/>
  <c r="EQ24" i="1"/>
  <c r="EQ25" i="1"/>
  <c r="EQ26" i="1"/>
  <c r="EQ27" i="1"/>
  <c r="EQ28" i="1"/>
  <c r="EQ29" i="1"/>
  <c r="EQ30" i="1"/>
  <c r="EQ31" i="1"/>
  <c r="EQ32" i="1"/>
  <c r="EQ33" i="1"/>
  <c r="EQ34" i="1"/>
  <c r="EQ35" i="1"/>
  <c r="EQ36" i="1"/>
  <c r="EQ37" i="1"/>
  <c r="EQ38" i="1"/>
  <c r="EQ39" i="1"/>
  <c r="EQ40" i="1"/>
  <c r="EQ41" i="1"/>
  <c r="EQ42" i="1"/>
  <c r="EQ43" i="1"/>
  <c r="EQ44" i="1"/>
  <c r="EQ45" i="1"/>
  <c r="EQ46" i="1"/>
  <c r="EQ47" i="1"/>
  <c r="EQ48" i="1"/>
  <c r="EQ49" i="1"/>
  <c r="EQ50" i="1"/>
  <c r="EQ51" i="1"/>
  <c r="EQ8" i="1"/>
  <c r="EL9" i="1"/>
  <c r="EL10" i="1"/>
  <c r="EL11" i="1"/>
  <c r="EL12" i="1"/>
  <c r="EL13" i="1"/>
  <c r="EL14" i="1"/>
  <c r="EL15" i="1"/>
  <c r="EL16" i="1"/>
  <c r="EL17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EL30" i="1"/>
  <c r="EL31" i="1"/>
  <c r="EL32" i="1"/>
  <c r="EL33" i="1"/>
  <c r="EL34" i="1"/>
  <c r="EL35" i="1"/>
  <c r="EL36" i="1"/>
  <c r="EL37" i="1"/>
  <c r="EL38" i="1"/>
  <c r="EL39" i="1"/>
  <c r="EL40" i="1"/>
  <c r="EL41" i="1"/>
  <c r="EL42" i="1"/>
  <c r="EL43" i="1"/>
  <c r="EL44" i="1"/>
  <c r="EL45" i="1"/>
  <c r="EL46" i="1"/>
  <c r="EL47" i="1"/>
  <c r="EL48" i="1"/>
  <c r="EL49" i="1"/>
  <c r="EL50" i="1"/>
  <c r="EL51" i="1"/>
  <c r="EL8" i="1"/>
  <c r="EI9" i="1"/>
  <c r="EI10" i="1"/>
  <c r="EI11" i="1"/>
  <c r="EI12" i="1"/>
  <c r="EI13" i="1"/>
  <c r="EI14" i="1"/>
  <c r="EI15" i="1"/>
  <c r="EI16" i="1"/>
  <c r="EI17" i="1"/>
  <c r="EI18" i="1"/>
  <c r="EI19" i="1"/>
  <c r="EI20" i="1"/>
  <c r="EI21" i="1"/>
  <c r="EI22" i="1"/>
  <c r="EI23" i="1"/>
  <c r="EI24" i="1"/>
  <c r="EI25" i="1"/>
  <c r="EI26" i="1"/>
  <c r="EI27" i="1"/>
  <c r="EI28" i="1"/>
  <c r="EI29" i="1"/>
  <c r="EI30" i="1"/>
  <c r="EI31" i="1"/>
  <c r="EI32" i="1"/>
  <c r="EI33" i="1"/>
  <c r="EI34" i="1"/>
  <c r="EI35" i="1"/>
  <c r="EI36" i="1"/>
  <c r="EI37" i="1"/>
  <c r="EI38" i="1"/>
  <c r="EI39" i="1"/>
  <c r="EI40" i="1"/>
  <c r="EI41" i="1"/>
  <c r="EI42" i="1"/>
  <c r="EI43" i="1"/>
  <c r="EI44" i="1"/>
  <c r="EI45" i="1"/>
  <c r="EI46" i="1"/>
  <c r="EI47" i="1"/>
  <c r="EI48" i="1"/>
  <c r="EI49" i="1"/>
  <c r="EI50" i="1"/>
  <c r="EI51" i="1"/>
  <c r="EI8" i="1"/>
  <c r="EH9" i="1"/>
  <c r="EH10" i="1"/>
  <c r="EH11" i="1"/>
  <c r="EH12" i="1"/>
  <c r="EH13" i="1"/>
  <c r="EH14" i="1"/>
  <c r="EH15" i="1"/>
  <c r="EH16" i="1"/>
  <c r="EH17" i="1"/>
  <c r="EH18" i="1"/>
  <c r="EH19" i="1"/>
  <c r="EH20" i="1"/>
  <c r="EH21" i="1"/>
  <c r="EH22" i="1"/>
  <c r="EH23" i="1"/>
  <c r="EH24" i="1"/>
  <c r="EH25" i="1"/>
  <c r="EH26" i="1"/>
  <c r="EH27" i="1"/>
  <c r="EH28" i="1"/>
  <c r="EH29" i="1"/>
  <c r="EH30" i="1"/>
  <c r="EH31" i="1"/>
  <c r="EH32" i="1"/>
  <c r="EH33" i="1"/>
  <c r="EH34" i="1"/>
  <c r="EH35" i="1"/>
  <c r="EH36" i="1"/>
  <c r="EH37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8" i="1"/>
  <c r="CF4" i="1"/>
  <c r="CE4" i="1"/>
  <c r="DC73" i="1"/>
  <c r="CZ73" i="1"/>
  <c r="CW73" i="1"/>
  <c r="CT73" i="1"/>
  <c r="CQ73" i="1"/>
  <c r="CN73" i="1"/>
  <c r="CK73" i="1"/>
  <c r="CH73" i="1"/>
  <c r="CE73" i="1"/>
  <c r="CB73" i="1"/>
  <c r="BY73" i="1"/>
  <c r="BV73" i="1"/>
  <c r="BS73" i="1"/>
  <c r="BP73" i="1"/>
  <c r="BM73" i="1"/>
  <c r="BJ73" i="1"/>
  <c r="BG73" i="1"/>
  <c r="BD73" i="1"/>
  <c r="BA73" i="1"/>
  <c r="AX73" i="1"/>
  <c r="AU73" i="1"/>
  <c r="AR73" i="1"/>
  <c r="AO73" i="1"/>
  <c r="AL73" i="1"/>
  <c r="AI73" i="1"/>
  <c r="AF73" i="1"/>
  <c r="AC73" i="1"/>
  <c r="Z73" i="1"/>
  <c r="W73" i="1"/>
  <c r="T73" i="1"/>
  <c r="Q73" i="1"/>
  <c r="N73" i="1"/>
  <c r="K73" i="1"/>
  <c r="H73" i="1"/>
  <c r="E73" i="1"/>
  <c r="BH4" i="1"/>
  <c r="AU4" i="1"/>
  <c r="AV4" i="1"/>
  <c r="AX4" i="1"/>
  <c r="AY4" i="1"/>
  <c r="BA4" i="1"/>
  <c r="BB4" i="1"/>
  <c r="DC77" i="1"/>
  <c r="CZ77" i="1"/>
  <c r="CW77" i="1"/>
  <c r="CT77" i="1"/>
  <c r="CQ77" i="1"/>
  <c r="CN77" i="1"/>
  <c r="CK77" i="1"/>
  <c r="CH77" i="1"/>
  <c r="CE77" i="1"/>
  <c r="CB77" i="1"/>
  <c r="BY77" i="1"/>
  <c r="BV77" i="1"/>
  <c r="BS77" i="1"/>
  <c r="BP77" i="1"/>
  <c r="BM77" i="1"/>
  <c r="BJ77" i="1"/>
  <c r="BG77" i="1"/>
  <c r="BD77" i="1"/>
  <c r="BA77" i="1"/>
  <c r="AX77" i="1"/>
  <c r="AU77" i="1"/>
  <c r="AR77" i="1"/>
  <c r="AO77" i="1"/>
  <c r="AL77" i="1"/>
  <c r="AI77" i="1"/>
  <c r="AF77" i="1"/>
  <c r="AC77" i="1"/>
  <c r="Z77" i="1"/>
  <c r="W77" i="1"/>
  <c r="T77" i="1"/>
  <c r="Q77" i="1"/>
  <c r="N77" i="1"/>
  <c r="K77" i="1"/>
  <c r="H77" i="1"/>
  <c r="E77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8" i="1"/>
  <c r="DC4" i="1"/>
  <c r="DD4" i="1"/>
  <c r="CK56" i="1"/>
  <c r="DD78" i="1"/>
  <c r="DC76" i="1"/>
  <c r="DC75" i="1"/>
  <c r="DC74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7" i="1"/>
  <c r="DC56" i="1"/>
  <c r="DC55" i="1"/>
  <c r="DC53" i="1"/>
  <c r="DC52" i="1"/>
  <c r="CZ76" i="1"/>
  <c r="CZ75" i="1"/>
  <c r="CZ74" i="1"/>
  <c r="CZ72" i="1"/>
  <c r="CZ71" i="1"/>
  <c r="CZ70" i="1"/>
  <c r="CZ69" i="1"/>
  <c r="CZ68" i="1"/>
  <c r="CZ67" i="1"/>
  <c r="CZ66" i="1"/>
  <c r="CZ65" i="1"/>
  <c r="CZ64" i="1"/>
  <c r="CZ63" i="1"/>
  <c r="CZ62" i="1"/>
  <c r="CZ61" i="1"/>
  <c r="CZ60" i="1"/>
  <c r="CZ59" i="1"/>
  <c r="CZ57" i="1"/>
  <c r="CZ56" i="1"/>
  <c r="CZ55" i="1"/>
  <c r="CZ53" i="1"/>
  <c r="CZ52" i="1"/>
  <c r="CW76" i="1"/>
  <c r="CW75" i="1"/>
  <c r="CW74" i="1"/>
  <c r="CW72" i="1"/>
  <c r="CW71" i="1"/>
  <c r="CW70" i="1"/>
  <c r="CW69" i="1"/>
  <c r="CW68" i="1"/>
  <c r="CW67" i="1"/>
  <c r="CW66" i="1"/>
  <c r="CW65" i="1"/>
  <c r="CW64" i="1"/>
  <c r="CW63" i="1"/>
  <c r="CW62" i="1"/>
  <c r="CW61" i="1"/>
  <c r="CW60" i="1"/>
  <c r="CW59" i="1"/>
  <c r="CW57" i="1"/>
  <c r="CW56" i="1"/>
  <c r="CW55" i="1"/>
  <c r="CW53" i="1"/>
  <c r="CW52" i="1"/>
  <c r="CT76" i="1"/>
  <c r="CT75" i="1"/>
  <c r="CT74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7" i="1"/>
  <c r="CT56" i="1"/>
  <c r="CT55" i="1"/>
  <c r="CT53" i="1"/>
  <c r="CT52" i="1"/>
  <c r="CQ76" i="1"/>
  <c r="CQ75" i="1"/>
  <c r="CQ74" i="1"/>
  <c r="CQ72" i="1"/>
  <c r="CQ71" i="1"/>
  <c r="CQ70" i="1"/>
  <c r="CQ69" i="1"/>
  <c r="CQ68" i="1"/>
  <c r="CQ67" i="1"/>
  <c r="CQ66" i="1"/>
  <c r="CQ65" i="1"/>
  <c r="CQ64" i="1"/>
  <c r="CQ63" i="1"/>
  <c r="CQ62" i="1"/>
  <c r="CQ61" i="1"/>
  <c r="CQ60" i="1"/>
  <c r="CQ59" i="1"/>
  <c r="CQ57" i="1"/>
  <c r="CQ56" i="1"/>
  <c r="CQ55" i="1"/>
  <c r="CQ53" i="1"/>
  <c r="CQ52" i="1"/>
  <c r="CN76" i="1"/>
  <c r="CN75" i="1"/>
  <c r="CN74" i="1"/>
  <c r="CN72" i="1"/>
  <c r="CN71" i="1"/>
  <c r="CN70" i="1"/>
  <c r="CN69" i="1"/>
  <c r="CN68" i="1"/>
  <c r="CN67" i="1"/>
  <c r="CN66" i="1"/>
  <c r="CN65" i="1"/>
  <c r="CN64" i="1"/>
  <c r="CN63" i="1"/>
  <c r="CN62" i="1"/>
  <c r="CN61" i="1"/>
  <c r="CN60" i="1"/>
  <c r="CN59" i="1"/>
  <c r="CN56" i="1"/>
  <c r="CN53" i="1"/>
  <c r="CK76" i="1"/>
  <c r="CK75" i="1"/>
  <c r="CK74" i="1"/>
  <c r="CK72" i="1"/>
  <c r="CK71" i="1"/>
  <c r="CK70" i="1"/>
  <c r="CK69" i="1"/>
  <c r="CK68" i="1"/>
  <c r="CK67" i="1"/>
  <c r="CK66" i="1"/>
  <c r="CK65" i="1"/>
  <c r="CK63" i="1"/>
  <c r="CK62" i="1"/>
  <c r="CK61" i="1"/>
  <c r="CK60" i="1"/>
  <c r="CK59" i="1"/>
  <c r="CK53" i="1"/>
  <c r="CH76" i="1"/>
  <c r="CH75" i="1"/>
  <c r="CH74" i="1"/>
  <c r="CH72" i="1"/>
  <c r="CH71" i="1"/>
  <c r="CH70" i="1"/>
  <c r="CH69" i="1"/>
  <c r="CH68" i="1"/>
  <c r="CH67" i="1"/>
  <c r="CH66" i="1"/>
  <c r="CH65" i="1"/>
  <c r="CH63" i="1"/>
  <c r="CH62" i="1"/>
  <c r="CH61" i="1"/>
  <c r="CH60" i="1"/>
  <c r="CH59" i="1"/>
  <c r="CE76" i="1"/>
  <c r="CE75" i="1"/>
  <c r="CE74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7" i="1"/>
  <c r="CE56" i="1"/>
  <c r="CE55" i="1"/>
  <c r="CE53" i="1"/>
  <c r="CE52" i="1"/>
  <c r="CB76" i="1"/>
  <c r="CB75" i="1"/>
  <c r="CB74" i="1"/>
  <c r="CB72" i="1"/>
  <c r="CB71" i="1"/>
  <c r="CB70" i="1"/>
  <c r="CB69" i="1"/>
  <c r="CB68" i="1"/>
  <c r="CB67" i="1"/>
  <c r="CB66" i="1"/>
  <c r="CB65" i="1"/>
  <c r="CB64" i="1"/>
  <c r="CB63" i="1"/>
  <c r="CB62" i="1"/>
  <c r="CB61" i="1"/>
  <c r="CB60" i="1"/>
  <c r="CB59" i="1"/>
  <c r="CB57" i="1"/>
  <c r="CB56" i="1"/>
  <c r="CB55" i="1"/>
  <c r="CB53" i="1"/>
  <c r="CB52" i="1"/>
  <c r="BY76" i="1"/>
  <c r="BY75" i="1"/>
  <c r="BY74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7" i="1"/>
  <c r="BY56" i="1"/>
  <c r="BY55" i="1"/>
  <c r="BY53" i="1"/>
  <c r="BY52" i="1"/>
  <c r="BV76" i="1"/>
  <c r="BV75" i="1"/>
  <c r="BV74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7" i="1"/>
  <c r="BV56" i="1"/>
  <c r="BV55" i="1"/>
  <c r="BV53" i="1"/>
  <c r="BV52" i="1"/>
  <c r="BS76" i="1"/>
  <c r="BS75" i="1"/>
  <c r="BS74" i="1"/>
  <c r="BS72" i="1"/>
  <c r="BS71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7" i="1"/>
  <c r="BS56" i="1"/>
  <c r="BS55" i="1"/>
  <c r="BS53" i="1"/>
  <c r="BS52" i="1"/>
  <c r="BP76" i="1"/>
  <c r="BP75" i="1"/>
  <c r="BP74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7" i="1"/>
  <c r="BP56" i="1"/>
  <c r="BP55" i="1"/>
  <c r="BP53" i="1"/>
  <c r="BP52" i="1"/>
  <c r="BM76" i="1"/>
  <c r="BM75" i="1"/>
  <c r="BM74" i="1"/>
  <c r="BM72" i="1"/>
  <c r="BM71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7" i="1"/>
  <c r="BM56" i="1"/>
  <c r="BM55" i="1"/>
  <c r="BM53" i="1"/>
  <c r="BM52" i="1"/>
  <c r="BJ76" i="1"/>
  <c r="BJ75" i="1"/>
  <c r="BJ74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59" i="1"/>
  <c r="BJ57" i="1"/>
  <c r="BJ56" i="1"/>
  <c r="BJ55" i="1"/>
  <c r="BJ53" i="1"/>
  <c r="BJ52" i="1"/>
  <c r="BG76" i="1"/>
  <c r="BG75" i="1"/>
  <c r="BG74" i="1"/>
  <c r="BG72" i="1"/>
  <c r="BG71" i="1"/>
  <c r="BG70" i="1"/>
  <c r="BG69" i="1"/>
  <c r="BG68" i="1"/>
  <c r="BG67" i="1"/>
  <c r="BG66" i="1"/>
  <c r="BG65" i="1"/>
  <c r="BG63" i="1"/>
  <c r="BG62" i="1"/>
  <c r="BG61" i="1"/>
  <c r="BG60" i="1"/>
  <c r="BG59" i="1"/>
  <c r="BG57" i="1"/>
  <c r="BG56" i="1"/>
  <c r="BG52" i="1"/>
  <c r="BD76" i="1"/>
  <c r="BD75" i="1"/>
  <c r="BD74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7" i="1"/>
  <c r="BD56" i="1"/>
  <c r="BA76" i="1"/>
  <c r="BA75" i="1"/>
  <c r="BA74" i="1"/>
  <c r="BA72" i="1"/>
  <c r="BA71" i="1"/>
  <c r="BA70" i="1"/>
  <c r="BA69" i="1"/>
  <c r="BA68" i="1"/>
  <c r="BA67" i="1"/>
  <c r="BA66" i="1"/>
  <c r="BA65" i="1"/>
  <c r="BA63" i="1"/>
  <c r="BA62" i="1"/>
  <c r="BA61" i="1"/>
  <c r="BA60" i="1"/>
  <c r="BA59" i="1"/>
  <c r="BA57" i="1"/>
  <c r="BA56" i="1"/>
  <c r="BA52" i="1"/>
  <c r="AX76" i="1"/>
  <c r="AX75" i="1"/>
  <c r="AX74" i="1"/>
  <c r="AX72" i="1"/>
  <c r="AX71" i="1"/>
  <c r="AX70" i="1"/>
  <c r="AX69" i="1"/>
  <c r="AX68" i="1"/>
  <c r="AX67" i="1"/>
  <c r="AX66" i="1"/>
  <c r="AX65" i="1"/>
  <c r="AX63" i="1"/>
  <c r="AX62" i="1"/>
  <c r="AX61" i="1"/>
  <c r="AX60" i="1"/>
  <c r="AX59" i="1"/>
  <c r="AX57" i="1"/>
  <c r="AX56" i="1"/>
  <c r="AX52" i="1"/>
  <c r="AU76" i="1"/>
  <c r="AU75" i="1"/>
  <c r="AU74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7" i="1"/>
  <c r="AU56" i="1"/>
  <c r="AU52" i="1"/>
  <c r="AR76" i="1"/>
  <c r="AR75" i="1"/>
  <c r="AR74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7" i="1"/>
  <c r="AR56" i="1"/>
  <c r="AR52" i="1"/>
  <c r="AO76" i="1"/>
  <c r="AO75" i="1"/>
  <c r="AO74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7" i="1"/>
  <c r="AO56" i="1"/>
  <c r="AO52" i="1"/>
  <c r="AL76" i="1"/>
  <c r="AL75" i="1"/>
  <c r="AL74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7" i="1"/>
  <c r="AL56" i="1"/>
  <c r="AL52" i="1"/>
  <c r="AI76" i="1"/>
  <c r="AI75" i="1"/>
  <c r="AI74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7" i="1"/>
  <c r="AI56" i="1"/>
  <c r="AI78" i="1" s="1"/>
  <c r="AI52" i="1"/>
  <c r="AF76" i="1"/>
  <c r="AF75" i="1"/>
  <c r="AF74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7" i="1"/>
  <c r="AF56" i="1"/>
  <c r="AF55" i="1"/>
  <c r="AF52" i="1"/>
  <c r="AC76" i="1"/>
  <c r="AC75" i="1"/>
  <c r="AC74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7" i="1"/>
  <c r="AC56" i="1"/>
  <c r="AC55" i="1"/>
  <c r="AC52" i="1"/>
  <c r="Z76" i="1"/>
  <c r="Z75" i="1"/>
  <c r="Z74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7" i="1"/>
  <c r="Z56" i="1"/>
  <c r="Z55" i="1"/>
  <c r="W76" i="1"/>
  <c r="W75" i="1"/>
  <c r="W74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7" i="1"/>
  <c r="W56" i="1"/>
  <c r="W55" i="1"/>
  <c r="W52" i="1"/>
  <c r="T76" i="1"/>
  <c r="T75" i="1"/>
  <c r="T74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7" i="1"/>
  <c r="T56" i="1"/>
  <c r="T55" i="1"/>
  <c r="T52" i="1"/>
  <c r="Q76" i="1"/>
  <c r="Q75" i="1"/>
  <c r="Q74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7" i="1"/>
  <c r="Q56" i="1"/>
  <c r="Q55" i="1"/>
  <c r="Q52" i="1"/>
  <c r="N76" i="1"/>
  <c r="N75" i="1"/>
  <c r="N74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2" i="1"/>
  <c r="K76" i="1"/>
  <c r="K75" i="1"/>
  <c r="K74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7" i="1"/>
  <c r="K56" i="1"/>
  <c r="K53" i="1"/>
  <c r="K52" i="1"/>
  <c r="H76" i="1"/>
  <c r="H75" i="1"/>
  <c r="H74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7" i="1"/>
  <c r="H56" i="1"/>
  <c r="H53" i="1"/>
  <c r="H52" i="1"/>
  <c r="E76" i="1"/>
  <c r="E75" i="1"/>
  <c r="E74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7" i="1"/>
  <c r="E56" i="1"/>
  <c r="E53" i="1"/>
  <c r="E52" i="1"/>
  <c r="F78" i="1"/>
  <c r="G78" i="1"/>
  <c r="I78" i="1"/>
  <c r="J78" i="1"/>
  <c r="L78" i="1"/>
  <c r="M78" i="1"/>
  <c r="O78" i="1"/>
  <c r="P78" i="1"/>
  <c r="R78" i="1"/>
  <c r="S78" i="1"/>
  <c r="U78" i="1"/>
  <c r="V78" i="1"/>
  <c r="X78" i="1"/>
  <c r="Y78" i="1"/>
  <c r="AA78" i="1"/>
  <c r="AB78" i="1"/>
  <c r="AD78" i="1"/>
  <c r="AE78" i="1"/>
  <c r="AG78" i="1"/>
  <c r="AH78" i="1"/>
  <c r="AJ78" i="1"/>
  <c r="AK78" i="1"/>
  <c r="AM78" i="1"/>
  <c r="AN78" i="1"/>
  <c r="AP78" i="1"/>
  <c r="AQ78" i="1"/>
  <c r="AS78" i="1"/>
  <c r="AT78" i="1"/>
  <c r="AV78" i="1"/>
  <c r="AW78" i="1"/>
  <c r="AY78" i="1"/>
  <c r="AZ78" i="1"/>
  <c r="BB78" i="1"/>
  <c r="BC78" i="1"/>
  <c r="BE78" i="1"/>
  <c r="BF78" i="1"/>
  <c r="BH78" i="1"/>
  <c r="BI78" i="1"/>
  <c r="BK78" i="1"/>
  <c r="BL78" i="1"/>
  <c r="BN78" i="1"/>
  <c r="BO78" i="1"/>
  <c r="BQ78" i="1"/>
  <c r="BR78" i="1"/>
  <c r="BT78" i="1"/>
  <c r="BU78" i="1"/>
  <c r="BW78" i="1"/>
  <c r="BX78" i="1"/>
  <c r="BZ78" i="1"/>
  <c r="CA78" i="1"/>
  <c r="CC78" i="1"/>
  <c r="CD78" i="1"/>
  <c r="CF78" i="1"/>
  <c r="CG78" i="1"/>
  <c r="CI78" i="1"/>
  <c r="CJ78" i="1"/>
  <c r="CR78" i="1"/>
  <c r="CS78" i="1"/>
  <c r="CU78" i="1"/>
  <c r="CV78" i="1"/>
  <c r="CX78" i="1"/>
  <c r="CY78" i="1"/>
  <c r="DA78" i="1"/>
  <c r="DB78" i="1"/>
  <c r="DH78" i="1"/>
  <c r="FO10" i="1"/>
  <c r="FO11" i="1"/>
  <c r="FO12" i="1"/>
  <c r="FO13" i="1"/>
  <c r="FO14" i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37" i="1"/>
  <c r="FO38" i="1"/>
  <c r="FO39" i="1"/>
  <c r="FO40" i="1"/>
  <c r="FO41" i="1"/>
  <c r="FO42" i="1"/>
  <c r="FO43" i="1"/>
  <c r="FO44" i="1"/>
  <c r="FO45" i="1"/>
  <c r="FO46" i="1"/>
  <c r="FO47" i="1"/>
  <c r="FO48" i="1"/>
  <c r="FO49" i="1"/>
  <c r="FO50" i="1"/>
  <c r="FO9" i="1"/>
  <c r="FO8" i="1"/>
  <c r="FN9" i="1"/>
  <c r="FN10" i="1"/>
  <c r="FN11" i="1"/>
  <c r="FN12" i="1"/>
  <c r="FN13" i="1"/>
  <c r="FN14" i="1"/>
  <c r="FN15" i="1"/>
  <c r="FN16" i="1"/>
  <c r="FN17" i="1"/>
  <c r="FN18" i="1"/>
  <c r="FN19" i="1"/>
  <c r="FN20" i="1"/>
  <c r="FN21" i="1"/>
  <c r="FN22" i="1"/>
  <c r="FN23" i="1"/>
  <c r="FN24" i="1"/>
  <c r="FN25" i="1"/>
  <c r="FN26" i="1"/>
  <c r="FN27" i="1"/>
  <c r="FN28" i="1"/>
  <c r="FN29" i="1"/>
  <c r="FN30" i="1"/>
  <c r="FN31" i="1"/>
  <c r="FN32" i="1"/>
  <c r="FN33" i="1"/>
  <c r="FN34" i="1"/>
  <c r="FN35" i="1"/>
  <c r="FN36" i="1"/>
  <c r="FN37" i="1"/>
  <c r="FN38" i="1"/>
  <c r="FN39" i="1"/>
  <c r="FN40" i="1"/>
  <c r="FN41" i="1"/>
  <c r="FN42" i="1"/>
  <c r="FN43" i="1"/>
  <c r="FN44" i="1"/>
  <c r="FN45" i="1"/>
  <c r="FN46" i="1"/>
  <c r="FN47" i="1"/>
  <c r="FN48" i="1"/>
  <c r="FN49" i="1"/>
  <c r="FN50" i="1"/>
  <c r="FN8" i="1"/>
  <c r="FL9" i="1"/>
  <c r="FL10" i="1"/>
  <c r="FL11" i="1"/>
  <c r="FL12" i="1"/>
  <c r="FL13" i="1"/>
  <c r="FL14" i="1"/>
  <c r="FL15" i="1"/>
  <c r="FL16" i="1"/>
  <c r="FL17" i="1"/>
  <c r="FL18" i="1"/>
  <c r="FL19" i="1"/>
  <c r="FL20" i="1"/>
  <c r="FL21" i="1"/>
  <c r="FL22" i="1"/>
  <c r="FL23" i="1"/>
  <c r="FL24" i="1"/>
  <c r="FL25" i="1"/>
  <c r="FL26" i="1"/>
  <c r="FL27" i="1"/>
  <c r="FL28" i="1"/>
  <c r="FL29" i="1"/>
  <c r="FL30" i="1"/>
  <c r="FL31" i="1"/>
  <c r="FL32" i="1"/>
  <c r="FL33" i="1"/>
  <c r="FL34" i="1"/>
  <c r="FL35" i="1"/>
  <c r="FL36" i="1"/>
  <c r="FL37" i="1"/>
  <c r="FL38" i="1"/>
  <c r="FL39" i="1"/>
  <c r="FL40" i="1"/>
  <c r="FL41" i="1"/>
  <c r="FL42" i="1"/>
  <c r="FL43" i="1"/>
  <c r="FL44" i="1"/>
  <c r="FL45" i="1"/>
  <c r="FL46" i="1"/>
  <c r="FL47" i="1"/>
  <c r="FL48" i="1"/>
  <c r="FL49" i="1"/>
  <c r="FL50" i="1"/>
  <c r="FL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8" i="1"/>
  <c r="DR9" i="1"/>
  <c r="DR10" i="1"/>
  <c r="DR11" i="1"/>
  <c r="DR12" i="1"/>
  <c r="DR13" i="1"/>
  <c r="DR14" i="1"/>
  <c r="DR15" i="1"/>
  <c r="DR16" i="1"/>
  <c r="DR17" i="1"/>
  <c r="DR18" i="1"/>
  <c r="DR19" i="1"/>
  <c r="DR20" i="1"/>
  <c r="DR21" i="1"/>
  <c r="DR22" i="1"/>
  <c r="DR23" i="1"/>
  <c r="DR24" i="1"/>
  <c r="DR25" i="1"/>
  <c r="DR26" i="1"/>
  <c r="DR27" i="1"/>
  <c r="DR28" i="1"/>
  <c r="DR29" i="1"/>
  <c r="DR30" i="1"/>
  <c r="DR31" i="1"/>
  <c r="DR32" i="1"/>
  <c r="DR33" i="1"/>
  <c r="DR34" i="1"/>
  <c r="DR35" i="1"/>
  <c r="DR36" i="1"/>
  <c r="DR37" i="1"/>
  <c r="DR38" i="1"/>
  <c r="DR39" i="1"/>
  <c r="DR40" i="1"/>
  <c r="DR41" i="1"/>
  <c r="DR42" i="1"/>
  <c r="DR43" i="1"/>
  <c r="DR44" i="1"/>
  <c r="DR45" i="1"/>
  <c r="DR46" i="1"/>
  <c r="DR47" i="1"/>
  <c r="DR48" i="1"/>
  <c r="DR49" i="1"/>
  <c r="DR50" i="1"/>
  <c r="DR8" i="1"/>
  <c r="DT9" i="1"/>
  <c r="DT10" i="1"/>
  <c r="DT11" i="1"/>
  <c r="DT12" i="1"/>
  <c r="DT13" i="1"/>
  <c r="DT14" i="1"/>
  <c r="DT15" i="1"/>
  <c r="DT16" i="1"/>
  <c r="DT17" i="1"/>
  <c r="DT18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36" i="1"/>
  <c r="DT37" i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8" i="1"/>
  <c r="FK9" i="1"/>
  <c r="FK10" i="1"/>
  <c r="FK11" i="1"/>
  <c r="FK12" i="1"/>
  <c r="FK13" i="1"/>
  <c r="FK14" i="1"/>
  <c r="FK15" i="1"/>
  <c r="FK16" i="1"/>
  <c r="FK17" i="1"/>
  <c r="FK18" i="1"/>
  <c r="FK19" i="1"/>
  <c r="FK20" i="1"/>
  <c r="FK21" i="1"/>
  <c r="FK22" i="1"/>
  <c r="FK23" i="1"/>
  <c r="FK24" i="1"/>
  <c r="FK25" i="1"/>
  <c r="FK26" i="1"/>
  <c r="FK27" i="1"/>
  <c r="FK28" i="1"/>
  <c r="FK29" i="1"/>
  <c r="FK30" i="1"/>
  <c r="FK31" i="1"/>
  <c r="FK32" i="1"/>
  <c r="FK33" i="1"/>
  <c r="FK34" i="1"/>
  <c r="FK35" i="1"/>
  <c r="FK36" i="1"/>
  <c r="FK37" i="1"/>
  <c r="FK38" i="1"/>
  <c r="FK39" i="1"/>
  <c r="FK40" i="1"/>
  <c r="FK41" i="1"/>
  <c r="FK42" i="1"/>
  <c r="FK43" i="1"/>
  <c r="FK44" i="1"/>
  <c r="FK45" i="1"/>
  <c r="FK46" i="1"/>
  <c r="FK47" i="1"/>
  <c r="FK48" i="1"/>
  <c r="FK49" i="1"/>
  <c r="FK50" i="1"/>
  <c r="FK8" i="1"/>
  <c r="ED9" i="1"/>
  <c r="ED10" i="1"/>
  <c r="ED11" i="1"/>
  <c r="ED12" i="1"/>
  <c r="ED13" i="1"/>
  <c r="ED14" i="1"/>
  <c r="ED15" i="1"/>
  <c r="ED16" i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34" i="1"/>
  <c r="ED35" i="1"/>
  <c r="ED36" i="1"/>
  <c r="ED37" i="1"/>
  <c r="ED38" i="1"/>
  <c r="ED39" i="1"/>
  <c r="ED40" i="1"/>
  <c r="ED41" i="1"/>
  <c r="ED42" i="1"/>
  <c r="ED43" i="1"/>
  <c r="ED44" i="1"/>
  <c r="ED45" i="1"/>
  <c r="ED46" i="1"/>
  <c r="ED47" i="1"/>
  <c r="ED48" i="1"/>
  <c r="ED49" i="1"/>
  <c r="ED50" i="1"/>
  <c r="ED8" i="1"/>
  <c r="BQ4" i="1"/>
  <c r="BP4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4" i="1"/>
  <c r="EG35" i="1"/>
  <c r="EG36" i="1"/>
  <c r="EG37" i="1"/>
  <c r="EG38" i="1"/>
  <c r="EG39" i="1"/>
  <c r="EG40" i="1"/>
  <c r="EG41" i="1"/>
  <c r="EG42" i="1"/>
  <c r="EG43" i="1"/>
  <c r="EG44" i="1"/>
  <c r="EG45" i="1"/>
  <c r="EG46" i="1"/>
  <c r="EG47" i="1"/>
  <c r="EG48" i="1"/>
  <c r="EG49" i="1"/>
  <c r="EG50" i="1"/>
  <c r="EG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8" i="1"/>
  <c r="DX10" i="1"/>
  <c r="DX11" i="1"/>
  <c r="DX12" i="1"/>
  <c r="DX13" i="1"/>
  <c r="DX14" i="1"/>
  <c r="DX15" i="1"/>
  <c r="DX16" i="1"/>
  <c r="DX17" i="1"/>
  <c r="DX18" i="1"/>
  <c r="DX19" i="1"/>
  <c r="DX20" i="1"/>
  <c r="DX21" i="1"/>
  <c r="DX22" i="1"/>
  <c r="DX23" i="1"/>
  <c r="DX24" i="1"/>
  <c r="DX25" i="1"/>
  <c r="DX26" i="1"/>
  <c r="DX27" i="1"/>
  <c r="DX28" i="1"/>
  <c r="DX29" i="1"/>
  <c r="DX30" i="1"/>
  <c r="DX31" i="1"/>
  <c r="DX32" i="1"/>
  <c r="DX33" i="1"/>
  <c r="DX34" i="1"/>
  <c r="DX35" i="1"/>
  <c r="DX36" i="1"/>
  <c r="DX37" i="1"/>
  <c r="DX38" i="1"/>
  <c r="DX39" i="1"/>
  <c r="DX40" i="1"/>
  <c r="DX41" i="1"/>
  <c r="DX42" i="1"/>
  <c r="DX43" i="1"/>
  <c r="DX44" i="1"/>
  <c r="DX45" i="1"/>
  <c r="DX46" i="1"/>
  <c r="DX47" i="1"/>
  <c r="DX48" i="1"/>
  <c r="DX49" i="1"/>
  <c r="DX50" i="1"/>
  <c r="DX9" i="1"/>
  <c r="DX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8" i="1"/>
  <c r="ES9" i="1"/>
  <c r="ES10" i="1"/>
  <c r="ES11" i="1"/>
  <c r="ES12" i="1"/>
  <c r="ES13" i="1"/>
  <c r="ES14" i="1"/>
  <c r="ES15" i="1"/>
  <c r="ES16" i="1"/>
  <c r="ES17" i="1"/>
  <c r="ES18" i="1"/>
  <c r="ES19" i="1"/>
  <c r="ES20" i="1"/>
  <c r="ES21" i="1"/>
  <c r="ES22" i="1"/>
  <c r="ES23" i="1"/>
  <c r="ES24" i="1"/>
  <c r="ES25" i="1"/>
  <c r="ES26" i="1"/>
  <c r="ES27" i="1"/>
  <c r="ES28" i="1"/>
  <c r="ES29" i="1"/>
  <c r="ES30" i="1"/>
  <c r="ES31" i="1"/>
  <c r="ES32" i="1"/>
  <c r="ES33" i="1"/>
  <c r="ES34" i="1"/>
  <c r="ES35" i="1"/>
  <c r="ES36" i="1"/>
  <c r="ES37" i="1"/>
  <c r="ES38" i="1"/>
  <c r="ES39" i="1"/>
  <c r="ES40" i="1"/>
  <c r="ES41" i="1"/>
  <c r="ES42" i="1"/>
  <c r="ES43" i="1"/>
  <c r="ES44" i="1"/>
  <c r="ES45" i="1"/>
  <c r="ES46" i="1"/>
  <c r="ES47" i="1"/>
  <c r="ES48" i="1"/>
  <c r="ES49" i="1"/>
  <c r="ES50" i="1"/>
  <c r="ES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EB21" i="1"/>
  <c r="EB22" i="1"/>
  <c r="EB23" i="1"/>
  <c r="EB24" i="1"/>
  <c r="EB25" i="1"/>
  <c r="EB26" i="1"/>
  <c r="EB27" i="1"/>
  <c r="EB28" i="1"/>
  <c r="EB29" i="1"/>
  <c r="EB30" i="1"/>
  <c r="EB31" i="1"/>
  <c r="EB32" i="1"/>
  <c r="EB33" i="1"/>
  <c r="EB34" i="1"/>
  <c r="EB35" i="1"/>
  <c r="EB36" i="1"/>
  <c r="EB37" i="1"/>
  <c r="EB38" i="1"/>
  <c r="EB39" i="1"/>
  <c r="EB40" i="1"/>
  <c r="EB41" i="1"/>
  <c r="EB42" i="1"/>
  <c r="EB43" i="1"/>
  <c r="EB44" i="1"/>
  <c r="EB45" i="1"/>
  <c r="EB46" i="1"/>
  <c r="EB47" i="1"/>
  <c r="EB48" i="1"/>
  <c r="EB49" i="1"/>
  <c r="EB50" i="1"/>
  <c r="EB8" i="1"/>
  <c r="FH41" i="1"/>
  <c r="FH42" i="1"/>
  <c r="FH43" i="1"/>
  <c r="FH44" i="1"/>
  <c r="FH45" i="1"/>
  <c r="FH46" i="1"/>
  <c r="FH47" i="1"/>
  <c r="FH48" i="1"/>
  <c r="FH49" i="1"/>
  <c r="FH50" i="1"/>
  <c r="FH9" i="1"/>
  <c r="FH10" i="1"/>
  <c r="FH11" i="1"/>
  <c r="FH12" i="1"/>
  <c r="FH13" i="1"/>
  <c r="FH14" i="1"/>
  <c r="FH15" i="1"/>
  <c r="FH16" i="1"/>
  <c r="FH17" i="1"/>
  <c r="FH18" i="1"/>
  <c r="FH19" i="1"/>
  <c r="FH20" i="1"/>
  <c r="FH21" i="1"/>
  <c r="FH22" i="1"/>
  <c r="FH23" i="1"/>
  <c r="FH24" i="1"/>
  <c r="FH25" i="1"/>
  <c r="FH26" i="1"/>
  <c r="FH27" i="1"/>
  <c r="FH28" i="1"/>
  <c r="FH29" i="1"/>
  <c r="FH30" i="1"/>
  <c r="FH31" i="1"/>
  <c r="FH32" i="1"/>
  <c r="FH33" i="1"/>
  <c r="FH34" i="1"/>
  <c r="FH35" i="1"/>
  <c r="FH36" i="1"/>
  <c r="FH37" i="1"/>
  <c r="FH38" i="1"/>
  <c r="FH39" i="1"/>
  <c r="FH40" i="1"/>
  <c r="FH8" i="1"/>
  <c r="FE50" i="1"/>
  <c r="FE49" i="1"/>
  <c r="FE48" i="1"/>
  <c r="FE47" i="1"/>
  <c r="FE46" i="1"/>
  <c r="FE45" i="1"/>
  <c r="FE44" i="1"/>
  <c r="FE43" i="1"/>
  <c r="FE42" i="1"/>
  <c r="FE41" i="1"/>
  <c r="FE40" i="1"/>
  <c r="FE39" i="1"/>
  <c r="FE38" i="1"/>
  <c r="FE37" i="1"/>
  <c r="FE36" i="1"/>
  <c r="FE35" i="1"/>
  <c r="FE34" i="1"/>
  <c r="FE33" i="1"/>
  <c r="FE32" i="1"/>
  <c r="FE31" i="1"/>
  <c r="FE30" i="1"/>
  <c r="FE29" i="1"/>
  <c r="FE28" i="1"/>
  <c r="FE27" i="1"/>
  <c r="FE26" i="1"/>
  <c r="FE25" i="1"/>
  <c r="FE24" i="1"/>
  <c r="FE23" i="1"/>
  <c r="FE22" i="1"/>
  <c r="FE21" i="1"/>
  <c r="FE20" i="1"/>
  <c r="FE19" i="1"/>
  <c r="FE18" i="1"/>
  <c r="FE17" i="1"/>
  <c r="FE16" i="1"/>
  <c r="FE15" i="1"/>
  <c r="FE14" i="1"/>
  <c r="FE13" i="1"/>
  <c r="FE12" i="1"/>
  <c r="FE11" i="1"/>
  <c r="FE10" i="1"/>
  <c r="FE9" i="1"/>
  <c r="FE8" i="1"/>
  <c r="FG9" i="1"/>
  <c r="FG10" i="1"/>
  <c r="FG11" i="1"/>
  <c r="FG12" i="1"/>
  <c r="FG13" i="1"/>
  <c r="FG14" i="1"/>
  <c r="FG15" i="1"/>
  <c r="FG16" i="1"/>
  <c r="FG17" i="1"/>
  <c r="FG18" i="1"/>
  <c r="FG19" i="1"/>
  <c r="FG20" i="1"/>
  <c r="FG21" i="1"/>
  <c r="FG22" i="1"/>
  <c r="FG23" i="1"/>
  <c r="FG24" i="1"/>
  <c r="FG25" i="1"/>
  <c r="FG26" i="1"/>
  <c r="FG27" i="1"/>
  <c r="FG28" i="1"/>
  <c r="FG29" i="1"/>
  <c r="FG30" i="1"/>
  <c r="FG31" i="1"/>
  <c r="FG32" i="1"/>
  <c r="FG33" i="1"/>
  <c r="FG34" i="1"/>
  <c r="FG35" i="1"/>
  <c r="FG36" i="1"/>
  <c r="FG37" i="1"/>
  <c r="FG38" i="1"/>
  <c r="FG39" i="1"/>
  <c r="FG40" i="1"/>
  <c r="FG41" i="1"/>
  <c r="FG42" i="1"/>
  <c r="FG43" i="1"/>
  <c r="FG44" i="1"/>
  <c r="FG45" i="1"/>
  <c r="FG46" i="1"/>
  <c r="FG47" i="1"/>
  <c r="FG48" i="1"/>
  <c r="FG49" i="1"/>
  <c r="FG50" i="1"/>
  <c r="FG8" i="1"/>
  <c r="FF9" i="1"/>
  <c r="FF10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8" i="1"/>
  <c r="FD9" i="1"/>
  <c r="FD10" i="1"/>
  <c r="FD11" i="1"/>
  <c r="FD12" i="1"/>
  <c r="FD13" i="1"/>
  <c r="FD14" i="1"/>
  <c r="FD15" i="1"/>
  <c r="FD16" i="1"/>
  <c r="FD17" i="1"/>
  <c r="FD18" i="1"/>
  <c r="FD19" i="1"/>
  <c r="FD20" i="1"/>
  <c r="FD21" i="1"/>
  <c r="FD22" i="1"/>
  <c r="FD23" i="1"/>
  <c r="FD24" i="1"/>
  <c r="FD25" i="1"/>
  <c r="FD26" i="1"/>
  <c r="FD27" i="1"/>
  <c r="FD28" i="1"/>
  <c r="FD29" i="1"/>
  <c r="FD30" i="1"/>
  <c r="FD31" i="1"/>
  <c r="FD32" i="1"/>
  <c r="FD33" i="1"/>
  <c r="FD34" i="1"/>
  <c r="FD35" i="1"/>
  <c r="FD36" i="1"/>
  <c r="FD37" i="1"/>
  <c r="FD38" i="1"/>
  <c r="FD39" i="1"/>
  <c r="FD40" i="1"/>
  <c r="FD41" i="1"/>
  <c r="FD42" i="1"/>
  <c r="FD43" i="1"/>
  <c r="FD44" i="1"/>
  <c r="FD45" i="1"/>
  <c r="FD46" i="1"/>
  <c r="FD47" i="1"/>
  <c r="FD48" i="1"/>
  <c r="FD49" i="1"/>
  <c r="FD50" i="1"/>
  <c r="FD8" i="1"/>
  <c r="EY50" i="1"/>
  <c r="EY49" i="1"/>
  <c r="EY48" i="1"/>
  <c r="EY47" i="1"/>
  <c r="EY46" i="1"/>
  <c r="EY45" i="1"/>
  <c r="EY44" i="1"/>
  <c r="EY43" i="1"/>
  <c r="EY42" i="1"/>
  <c r="EY41" i="1"/>
  <c r="EY40" i="1"/>
  <c r="EY39" i="1"/>
  <c r="EY38" i="1"/>
  <c r="EY37" i="1"/>
  <c r="EY36" i="1"/>
  <c r="EY35" i="1"/>
  <c r="EY34" i="1"/>
  <c r="EY33" i="1"/>
  <c r="EY32" i="1"/>
  <c r="EY31" i="1"/>
  <c r="EY30" i="1"/>
  <c r="EY29" i="1"/>
  <c r="EY28" i="1"/>
  <c r="EY27" i="1"/>
  <c r="EY26" i="1"/>
  <c r="EY25" i="1"/>
  <c r="EY24" i="1"/>
  <c r="EY23" i="1"/>
  <c r="EY22" i="1"/>
  <c r="EY21" i="1"/>
  <c r="EY20" i="1"/>
  <c r="EY19" i="1"/>
  <c r="EY18" i="1"/>
  <c r="EY17" i="1"/>
  <c r="EY16" i="1"/>
  <c r="EY15" i="1"/>
  <c r="EY14" i="1"/>
  <c r="EY13" i="1"/>
  <c r="EY12" i="1"/>
  <c r="EY11" i="1"/>
  <c r="EY10" i="1"/>
  <c r="EY9" i="1"/>
  <c r="EY8" i="1"/>
  <c r="FC9" i="1"/>
  <c r="FC10" i="1"/>
  <c r="FC11" i="1"/>
  <c r="FC12" i="1"/>
  <c r="FC13" i="1"/>
  <c r="FC14" i="1"/>
  <c r="FC15" i="1"/>
  <c r="FC16" i="1"/>
  <c r="FC17" i="1"/>
  <c r="FC18" i="1"/>
  <c r="FC19" i="1"/>
  <c r="FC20" i="1"/>
  <c r="FC21" i="1"/>
  <c r="FC22" i="1"/>
  <c r="FC23" i="1"/>
  <c r="FC24" i="1"/>
  <c r="FC25" i="1"/>
  <c r="FC26" i="1"/>
  <c r="FC27" i="1"/>
  <c r="FC28" i="1"/>
  <c r="FC29" i="1"/>
  <c r="FC30" i="1"/>
  <c r="FC31" i="1"/>
  <c r="FC32" i="1"/>
  <c r="FC33" i="1"/>
  <c r="FC34" i="1"/>
  <c r="FC35" i="1"/>
  <c r="FC36" i="1"/>
  <c r="FC37" i="1"/>
  <c r="FC38" i="1"/>
  <c r="FC39" i="1"/>
  <c r="FC40" i="1"/>
  <c r="FC41" i="1"/>
  <c r="FC42" i="1"/>
  <c r="FC43" i="1"/>
  <c r="FC44" i="1"/>
  <c r="FC45" i="1"/>
  <c r="FC46" i="1"/>
  <c r="FC47" i="1"/>
  <c r="FC48" i="1"/>
  <c r="FC49" i="1"/>
  <c r="FC50" i="1"/>
  <c r="FC8" i="1"/>
  <c r="DA4" i="1"/>
  <c r="FB9" i="1"/>
  <c r="FB10" i="1"/>
  <c r="FB11" i="1"/>
  <c r="FB12" i="1"/>
  <c r="FB13" i="1"/>
  <c r="FB14" i="1"/>
  <c r="FB15" i="1"/>
  <c r="FB16" i="1"/>
  <c r="FB17" i="1"/>
  <c r="FB18" i="1"/>
  <c r="FB19" i="1"/>
  <c r="FB20" i="1"/>
  <c r="FB21" i="1"/>
  <c r="FB22" i="1"/>
  <c r="FB23" i="1"/>
  <c r="FB24" i="1"/>
  <c r="FB25" i="1"/>
  <c r="FB26" i="1"/>
  <c r="FB27" i="1"/>
  <c r="FB28" i="1"/>
  <c r="FB29" i="1"/>
  <c r="FB30" i="1"/>
  <c r="FB31" i="1"/>
  <c r="FB32" i="1"/>
  <c r="FB33" i="1"/>
  <c r="FB34" i="1"/>
  <c r="FB35" i="1"/>
  <c r="FB36" i="1"/>
  <c r="FB37" i="1"/>
  <c r="FB38" i="1"/>
  <c r="FB39" i="1"/>
  <c r="FB40" i="1"/>
  <c r="FB41" i="1"/>
  <c r="FB42" i="1"/>
  <c r="FB43" i="1"/>
  <c r="FB44" i="1"/>
  <c r="FB45" i="1"/>
  <c r="FB46" i="1"/>
  <c r="FB47" i="1"/>
  <c r="FB48" i="1"/>
  <c r="FB49" i="1"/>
  <c r="FB50" i="1"/>
  <c r="FB8" i="1"/>
  <c r="EO9" i="1"/>
  <c r="EO10" i="1"/>
  <c r="EO11" i="1"/>
  <c r="EO12" i="1"/>
  <c r="EO13" i="1"/>
  <c r="EO14" i="1"/>
  <c r="EO15" i="1"/>
  <c r="EO16" i="1"/>
  <c r="EO17" i="1"/>
  <c r="EO18" i="1"/>
  <c r="EO19" i="1"/>
  <c r="EO20" i="1"/>
  <c r="EO21" i="1"/>
  <c r="EO22" i="1"/>
  <c r="EO23" i="1"/>
  <c r="EO24" i="1"/>
  <c r="EO25" i="1"/>
  <c r="EO26" i="1"/>
  <c r="EO27" i="1"/>
  <c r="EO28" i="1"/>
  <c r="EO29" i="1"/>
  <c r="EO30" i="1"/>
  <c r="EO31" i="1"/>
  <c r="EO32" i="1"/>
  <c r="EO33" i="1"/>
  <c r="EO34" i="1"/>
  <c r="EO35" i="1"/>
  <c r="EO36" i="1"/>
  <c r="EO37" i="1"/>
  <c r="EO38" i="1"/>
  <c r="EO39" i="1"/>
  <c r="EO40" i="1"/>
  <c r="EO41" i="1"/>
  <c r="EO42" i="1"/>
  <c r="EO43" i="1"/>
  <c r="EO44" i="1"/>
  <c r="EO45" i="1"/>
  <c r="EO46" i="1"/>
  <c r="EO47" i="1"/>
  <c r="EO48" i="1"/>
  <c r="EO49" i="1"/>
  <c r="EO50" i="1"/>
  <c r="EO8" i="1"/>
  <c r="FA9" i="1"/>
  <c r="FA10" i="1"/>
  <c r="FA11" i="1"/>
  <c r="FA12" i="1"/>
  <c r="FA13" i="1"/>
  <c r="FA14" i="1"/>
  <c r="FA15" i="1"/>
  <c r="FA16" i="1"/>
  <c r="FA17" i="1"/>
  <c r="FA18" i="1"/>
  <c r="FA19" i="1"/>
  <c r="FA20" i="1"/>
  <c r="FA21" i="1"/>
  <c r="FA22" i="1"/>
  <c r="FA23" i="1"/>
  <c r="FA24" i="1"/>
  <c r="FA25" i="1"/>
  <c r="FA26" i="1"/>
  <c r="FA27" i="1"/>
  <c r="FA28" i="1"/>
  <c r="FA29" i="1"/>
  <c r="FA30" i="1"/>
  <c r="FA31" i="1"/>
  <c r="FA32" i="1"/>
  <c r="FA33" i="1"/>
  <c r="FA34" i="1"/>
  <c r="FA35" i="1"/>
  <c r="FA36" i="1"/>
  <c r="FA37" i="1"/>
  <c r="FA38" i="1"/>
  <c r="FA39" i="1"/>
  <c r="FA40" i="1"/>
  <c r="FA41" i="1"/>
  <c r="FA42" i="1"/>
  <c r="FA43" i="1"/>
  <c r="FA44" i="1"/>
  <c r="FA45" i="1"/>
  <c r="FA46" i="1"/>
  <c r="FA47" i="1"/>
  <c r="FA48" i="1"/>
  <c r="FA49" i="1"/>
  <c r="FA50" i="1"/>
  <c r="FA8" i="1"/>
  <c r="EZ9" i="1"/>
  <c r="EZ10" i="1"/>
  <c r="EZ11" i="1"/>
  <c r="EZ12" i="1"/>
  <c r="EZ13" i="1"/>
  <c r="EZ14" i="1"/>
  <c r="EZ15" i="1"/>
  <c r="EZ16" i="1"/>
  <c r="EZ17" i="1"/>
  <c r="EZ18" i="1"/>
  <c r="EZ19" i="1"/>
  <c r="EZ20" i="1"/>
  <c r="EZ21" i="1"/>
  <c r="EZ22" i="1"/>
  <c r="EZ23" i="1"/>
  <c r="EZ24" i="1"/>
  <c r="EZ25" i="1"/>
  <c r="EZ26" i="1"/>
  <c r="EZ27" i="1"/>
  <c r="EZ28" i="1"/>
  <c r="EZ29" i="1"/>
  <c r="EZ30" i="1"/>
  <c r="EZ31" i="1"/>
  <c r="EZ32" i="1"/>
  <c r="EZ33" i="1"/>
  <c r="EZ34" i="1"/>
  <c r="EZ35" i="1"/>
  <c r="EZ36" i="1"/>
  <c r="EZ37" i="1"/>
  <c r="EZ38" i="1"/>
  <c r="EZ39" i="1"/>
  <c r="EZ40" i="1"/>
  <c r="EZ41" i="1"/>
  <c r="EZ42" i="1"/>
  <c r="EZ43" i="1"/>
  <c r="EZ44" i="1"/>
  <c r="EZ45" i="1"/>
  <c r="EZ46" i="1"/>
  <c r="EZ47" i="1"/>
  <c r="EZ48" i="1"/>
  <c r="EZ49" i="1"/>
  <c r="EZ50" i="1"/>
  <c r="EZ8" i="1"/>
  <c r="EX9" i="1"/>
  <c r="EX10" i="1"/>
  <c r="EX11" i="1"/>
  <c r="EX12" i="1"/>
  <c r="EX13" i="1"/>
  <c r="EX14" i="1"/>
  <c r="EX15" i="1"/>
  <c r="EX16" i="1"/>
  <c r="EX17" i="1"/>
  <c r="EX18" i="1"/>
  <c r="EX19" i="1"/>
  <c r="EX20" i="1"/>
  <c r="EX21" i="1"/>
  <c r="EX22" i="1"/>
  <c r="EX23" i="1"/>
  <c r="EX24" i="1"/>
  <c r="EX25" i="1"/>
  <c r="EX26" i="1"/>
  <c r="EX27" i="1"/>
  <c r="EX28" i="1"/>
  <c r="EX29" i="1"/>
  <c r="EX30" i="1"/>
  <c r="EX31" i="1"/>
  <c r="EX32" i="1"/>
  <c r="EX33" i="1"/>
  <c r="EX34" i="1"/>
  <c r="EX35" i="1"/>
  <c r="EX36" i="1"/>
  <c r="EX37" i="1"/>
  <c r="EX38" i="1"/>
  <c r="EX39" i="1"/>
  <c r="EX40" i="1"/>
  <c r="EX41" i="1"/>
  <c r="EX42" i="1"/>
  <c r="EX43" i="1"/>
  <c r="EX44" i="1"/>
  <c r="EX45" i="1"/>
  <c r="EX46" i="1"/>
  <c r="EX47" i="1"/>
  <c r="EX48" i="1"/>
  <c r="EX49" i="1"/>
  <c r="EX50" i="1"/>
  <c r="EX8" i="1"/>
  <c r="EJ38" i="1"/>
  <c r="EJ39" i="1"/>
  <c r="EJ37" i="1"/>
  <c r="EJ36" i="1"/>
  <c r="EJ35" i="1"/>
  <c r="ER9" i="1"/>
  <c r="ET9" i="1"/>
  <c r="ER10" i="1"/>
  <c r="ET10" i="1"/>
  <c r="ER11" i="1"/>
  <c r="ET11" i="1"/>
  <c r="ER12" i="1"/>
  <c r="ET12" i="1"/>
  <c r="ER13" i="1"/>
  <c r="ET13" i="1"/>
  <c r="ER14" i="1"/>
  <c r="ET14" i="1"/>
  <c r="ER15" i="1"/>
  <c r="ET15" i="1"/>
  <c r="ER16" i="1"/>
  <c r="ET16" i="1"/>
  <c r="ER17" i="1"/>
  <c r="ET17" i="1"/>
  <c r="ER18" i="1"/>
  <c r="ET18" i="1"/>
  <c r="ER19" i="1"/>
  <c r="ET19" i="1"/>
  <c r="ER20" i="1"/>
  <c r="ET20" i="1"/>
  <c r="ER21" i="1"/>
  <c r="ET21" i="1"/>
  <c r="ER22" i="1"/>
  <c r="ET22" i="1"/>
  <c r="ER23" i="1"/>
  <c r="ET23" i="1"/>
  <c r="ER24" i="1"/>
  <c r="ET24" i="1"/>
  <c r="ER25" i="1"/>
  <c r="ET25" i="1"/>
  <c r="ER26" i="1"/>
  <c r="ET26" i="1"/>
  <c r="ER27" i="1"/>
  <c r="ET27" i="1"/>
  <c r="ER28" i="1"/>
  <c r="ET28" i="1"/>
  <c r="ER29" i="1"/>
  <c r="ET29" i="1"/>
  <c r="ER30" i="1"/>
  <c r="ET30" i="1"/>
  <c r="ER31" i="1"/>
  <c r="ET31" i="1"/>
  <c r="ER32" i="1"/>
  <c r="ET32" i="1"/>
  <c r="ER33" i="1"/>
  <c r="ET33" i="1"/>
  <c r="ER34" i="1"/>
  <c r="ET34" i="1"/>
  <c r="ER35" i="1"/>
  <c r="ET35" i="1"/>
  <c r="ER36" i="1"/>
  <c r="ET36" i="1"/>
  <c r="ER37" i="1"/>
  <c r="ET37" i="1"/>
  <c r="ER38" i="1"/>
  <c r="ET38" i="1"/>
  <c r="ER39" i="1"/>
  <c r="ET39" i="1"/>
  <c r="ER40" i="1"/>
  <c r="ET40" i="1"/>
  <c r="ER41" i="1"/>
  <c r="ET41" i="1"/>
  <c r="ER42" i="1"/>
  <c r="ET42" i="1"/>
  <c r="ER43" i="1"/>
  <c r="ET43" i="1"/>
  <c r="ER44" i="1"/>
  <c r="ET44" i="1"/>
  <c r="ER45" i="1"/>
  <c r="ET45" i="1"/>
  <c r="ER46" i="1"/>
  <c r="ET46" i="1"/>
  <c r="ER47" i="1"/>
  <c r="ET47" i="1"/>
  <c r="ER48" i="1"/>
  <c r="ET48" i="1"/>
  <c r="ER49" i="1"/>
  <c r="ET49" i="1"/>
  <c r="ER50" i="1"/>
  <c r="ET50" i="1"/>
  <c r="ET8" i="1"/>
  <c r="ER8" i="1"/>
  <c r="EP9" i="1"/>
  <c r="EP10" i="1"/>
  <c r="EP11" i="1"/>
  <c r="EP12" i="1"/>
  <c r="EP13" i="1"/>
  <c r="EP14" i="1"/>
  <c r="EP15" i="1"/>
  <c r="EP16" i="1"/>
  <c r="EP17" i="1"/>
  <c r="EP18" i="1"/>
  <c r="EP19" i="1"/>
  <c r="EP20" i="1"/>
  <c r="EP21" i="1"/>
  <c r="EP22" i="1"/>
  <c r="EP23" i="1"/>
  <c r="EP24" i="1"/>
  <c r="EP25" i="1"/>
  <c r="EP26" i="1"/>
  <c r="EP27" i="1"/>
  <c r="EP28" i="1"/>
  <c r="EP29" i="1"/>
  <c r="EP30" i="1"/>
  <c r="EP31" i="1"/>
  <c r="EP32" i="1"/>
  <c r="EP33" i="1"/>
  <c r="EP34" i="1"/>
  <c r="EP35" i="1"/>
  <c r="EP36" i="1"/>
  <c r="EP37" i="1"/>
  <c r="EP38" i="1"/>
  <c r="EP39" i="1"/>
  <c r="EP40" i="1"/>
  <c r="EP41" i="1"/>
  <c r="EP42" i="1"/>
  <c r="EP43" i="1"/>
  <c r="EP44" i="1"/>
  <c r="EP45" i="1"/>
  <c r="EP46" i="1"/>
  <c r="EP47" i="1"/>
  <c r="EP48" i="1"/>
  <c r="EP49" i="1"/>
  <c r="EP50" i="1"/>
  <c r="EP8" i="1"/>
  <c r="EN9" i="1"/>
  <c r="EN10" i="1"/>
  <c r="EN11" i="1"/>
  <c r="EN12" i="1"/>
  <c r="EN13" i="1"/>
  <c r="EN14" i="1"/>
  <c r="EN15" i="1"/>
  <c r="EN16" i="1"/>
  <c r="EN17" i="1"/>
  <c r="EN18" i="1"/>
  <c r="EN19" i="1"/>
  <c r="EN20" i="1"/>
  <c r="EN21" i="1"/>
  <c r="EN22" i="1"/>
  <c r="EN23" i="1"/>
  <c r="EN24" i="1"/>
  <c r="EN25" i="1"/>
  <c r="EN26" i="1"/>
  <c r="EN27" i="1"/>
  <c r="EN28" i="1"/>
  <c r="EN29" i="1"/>
  <c r="EN30" i="1"/>
  <c r="EN31" i="1"/>
  <c r="EN32" i="1"/>
  <c r="EN33" i="1"/>
  <c r="EN34" i="1"/>
  <c r="EN35" i="1"/>
  <c r="EN36" i="1"/>
  <c r="EN37" i="1"/>
  <c r="EN38" i="1"/>
  <c r="EN39" i="1"/>
  <c r="EN40" i="1"/>
  <c r="EN41" i="1"/>
  <c r="EN42" i="1"/>
  <c r="EN43" i="1"/>
  <c r="EN44" i="1"/>
  <c r="EN45" i="1"/>
  <c r="EN46" i="1"/>
  <c r="EN47" i="1"/>
  <c r="EN48" i="1"/>
  <c r="EN49" i="1"/>
  <c r="EN50" i="1"/>
  <c r="EN8" i="1"/>
  <c r="CQ4" i="1"/>
  <c r="DH4" i="1"/>
  <c r="CZ4" i="1"/>
  <c r="CX4" i="1"/>
  <c r="CW4" i="1"/>
  <c r="CR4" i="1"/>
  <c r="CO4" i="1"/>
  <c r="CN4" i="1"/>
  <c r="CL4" i="1"/>
  <c r="CK4" i="1"/>
  <c r="CI4" i="1"/>
  <c r="CH4" i="1"/>
  <c r="CC4" i="1"/>
  <c r="CB4" i="1"/>
  <c r="BZ4" i="1"/>
  <c r="BY4" i="1"/>
  <c r="BW4" i="1"/>
  <c r="BV4" i="1"/>
  <c r="BT4" i="1"/>
  <c r="BS4" i="1"/>
  <c r="BN4" i="1"/>
  <c r="BM4" i="1"/>
  <c r="BK4" i="1"/>
  <c r="BJ4" i="1"/>
  <c r="BG4" i="1"/>
  <c r="BE4" i="1"/>
  <c r="BD4" i="1"/>
  <c r="AS4" i="1"/>
  <c r="AR4" i="1"/>
  <c r="AP4" i="1"/>
  <c r="AO4" i="1"/>
  <c r="AM4" i="1"/>
  <c r="AL4" i="1"/>
  <c r="AJ4" i="1"/>
  <c r="AI4" i="1"/>
  <c r="AG4" i="1"/>
  <c r="AF4" i="1"/>
  <c r="AD4" i="1"/>
  <c r="AC4" i="1"/>
  <c r="AA4" i="1"/>
  <c r="Z4" i="1"/>
  <c r="X4" i="1"/>
  <c r="W4" i="1"/>
  <c r="R4" i="1"/>
  <c r="Q4" i="1"/>
  <c r="O4" i="1"/>
  <c r="N4" i="1"/>
  <c r="L4" i="1"/>
  <c r="K4" i="1"/>
  <c r="I4" i="1"/>
  <c r="H4" i="1"/>
  <c r="F4" i="1"/>
  <c r="A4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8" i="1"/>
  <c r="EM9" i="1"/>
  <c r="EM10" i="1"/>
  <c r="EM11" i="1"/>
  <c r="EM12" i="1"/>
  <c r="EM13" i="1"/>
  <c r="EM14" i="1"/>
  <c r="EM15" i="1"/>
  <c r="EM16" i="1"/>
  <c r="EM17" i="1"/>
  <c r="EM18" i="1"/>
  <c r="EM19" i="1"/>
  <c r="EM20" i="1"/>
  <c r="EM21" i="1"/>
  <c r="EM22" i="1"/>
  <c r="EM23" i="1"/>
  <c r="EM24" i="1"/>
  <c r="EM25" i="1"/>
  <c r="EM26" i="1"/>
  <c r="EM27" i="1"/>
  <c r="EM28" i="1"/>
  <c r="EM29" i="1"/>
  <c r="EM30" i="1"/>
  <c r="EM31" i="1"/>
  <c r="EM32" i="1"/>
  <c r="EM33" i="1"/>
  <c r="EM34" i="1"/>
  <c r="EM35" i="1"/>
  <c r="EM36" i="1"/>
  <c r="EM37" i="1"/>
  <c r="EM38" i="1"/>
  <c r="EM39" i="1"/>
  <c r="EM40" i="1"/>
  <c r="EM41" i="1"/>
  <c r="EM42" i="1"/>
  <c r="EM43" i="1"/>
  <c r="EM44" i="1"/>
  <c r="EM45" i="1"/>
  <c r="EM46" i="1"/>
  <c r="EM47" i="1"/>
  <c r="EM48" i="1"/>
  <c r="EM49" i="1"/>
  <c r="EM50" i="1"/>
  <c r="EM8" i="1"/>
  <c r="EJ40" i="1"/>
  <c r="EJ41" i="1"/>
  <c r="EJ42" i="1"/>
  <c r="EJ9" i="1"/>
  <c r="EJ10" i="1"/>
  <c r="EJ11" i="1"/>
  <c r="EJ12" i="1"/>
  <c r="EJ13" i="1"/>
  <c r="EJ14" i="1"/>
  <c r="EJ15" i="1"/>
  <c r="EJ16" i="1"/>
  <c r="EJ17" i="1"/>
  <c r="EJ18" i="1"/>
  <c r="EJ19" i="1"/>
  <c r="EJ20" i="1"/>
  <c r="EJ21" i="1"/>
  <c r="EJ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43" i="1"/>
  <c r="EJ44" i="1"/>
  <c r="EJ45" i="1"/>
  <c r="EJ46" i="1"/>
  <c r="EJ47" i="1"/>
  <c r="EJ48" i="1"/>
  <c r="EJ49" i="1"/>
  <c r="EJ50" i="1"/>
  <c r="EJ8" i="1"/>
  <c r="E4" i="1"/>
  <c r="EC50" i="1"/>
  <c r="EC49" i="1"/>
  <c r="EC48" i="1"/>
  <c r="EC47" i="1"/>
  <c r="EC46" i="1"/>
  <c r="EC45" i="1"/>
  <c r="EC44" i="1"/>
  <c r="EC43" i="1"/>
  <c r="EC42" i="1"/>
  <c r="EC41" i="1"/>
  <c r="EC40" i="1"/>
  <c r="EC39" i="1"/>
  <c r="EC38" i="1"/>
  <c r="EC37" i="1"/>
  <c r="EC36" i="1"/>
  <c r="EC35" i="1"/>
  <c r="EC34" i="1"/>
  <c r="EC33" i="1"/>
  <c r="EC32" i="1"/>
  <c r="EC31" i="1"/>
  <c r="EC30" i="1"/>
  <c r="EC29" i="1"/>
  <c r="EC28" i="1"/>
  <c r="EC27" i="1"/>
  <c r="EC26" i="1"/>
  <c r="EC25" i="1"/>
  <c r="EC24" i="1"/>
  <c r="EC23" i="1"/>
  <c r="EC22" i="1"/>
  <c r="EC21" i="1"/>
  <c r="EC20" i="1"/>
  <c r="EC19" i="1"/>
  <c r="EC18" i="1"/>
  <c r="EC17" i="1"/>
  <c r="EC16" i="1"/>
  <c r="EC15" i="1"/>
  <c r="EC14" i="1"/>
  <c r="EC13" i="1"/>
  <c r="EC12" i="1"/>
  <c r="EC11" i="1"/>
  <c r="EC10" i="1"/>
  <c r="EC9" i="1"/>
  <c r="EC8" i="1"/>
  <c r="CK78" i="1"/>
  <c r="DC78" i="1"/>
  <c r="CW78" i="1"/>
  <c r="CZ78" i="1"/>
  <c r="CT78" i="1"/>
  <c r="CQ78" i="1"/>
  <c r="CB78" i="1"/>
  <c r="BY78" i="1"/>
  <c r="BP78" i="1"/>
  <c r="BM78" i="1"/>
  <c r="BA78" i="1"/>
  <c r="AR78" i="1"/>
  <c r="AO78" i="1"/>
  <c r="AF78" i="1"/>
  <c r="Z78" i="1"/>
  <c r="W78" i="1"/>
  <c r="Q78" i="1"/>
  <c r="N78" i="1"/>
  <c r="K78" i="1"/>
  <c r="E78" i="1"/>
  <c r="T78" i="1"/>
  <c r="EC51" i="1"/>
  <c r="ET51" i="1"/>
  <c r="FC51" i="1"/>
  <c r="FF51" i="1"/>
  <c r="DQ51" i="1"/>
  <c r="EP51" i="1"/>
  <c r="ER51" i="1"/>
  <c r="FI51" i="1"/>
  <c r="EX51" i="1"/>
  <c r="FA51" i="1"/>
  <c r="EO51" i="1"/>
  <c r="EY51" i="1"/>
  <c r="FE51" i="1"/>
  <c r="DR51" i="1"/>
  <c r="EJ51" i="1"/>
  <c r="EM51" i="1"/>
  <c r="FD51" i="1"/>
  <c r="ES51" i="1"/>
  <c r="EN51" i="1"/>
  <c r="DV51" i="1"/>
  <c r="EZ51" i="1"/>
  <c r="FB51" i="1"/>
  <c r="DN51" i="1"/>
  <c r="EF51" i="1"/>
  <c r="ED51" i="1"/>
  <c r="FK51" i="1"/>
  <c r="FL51" i="1"/>
  <c r="DX51" i="1"/>
  <c r="FN51" i="1"/>
  <c r="FG51" i="1"/>
  <c r="FH51" i="1"/>
  <c r="EB51" i="1"/>
  <c r="FO51" i="1"/>
  <c r="DT51" i="1"/>
  <c r="DZ51" i="1"/>
  <c r="EG51" i="1"/>
  <c r="CE78" i="1" l="1"/>
  <c r="AC78" i="1"/>
  <c r="BD78" i="1"/>
  <c r="AL78" i="1"/>
  <c r="BG78" i="1"/>
  <c r="BJ78" i="1"/>
  <c r="DL55" i="1"/>
  <c r="BS78" i="1"/>
  <c r="BV78" i="1"/>
  <c r="DK55" i="1"/>
  <c r="DL52" i="1"/>
  <c r="DL64" i="1"/>
  <c r="DK52" i="1"/>
  <c r="DL73" i="1"/>
  <c r="H78" i="1"/>
  <c r="DL66" i="1"/>
  <c r="DL53" i="1"/>
  <c r="DL67" i="1"/>
  <c r="DL63" i="1"/>
  <c r="DL76" i="1"/>
  <c r="DL62" i="1"/>
  <c r="DL75" i="1"/>
  <c r="AX78" i="1"/>
  <c r="DL68" i="1"/>
  <c r="FD5" i="1"/>
  <c r="DL59" i="1"/>
  <c r="DL71" i="1"/>
  <c r="DL77" i="1"/>
  <c r="DL57" i="1"/>
  <c r="DK57" i="1"/>
  <c r="DL72" i="1"/>
  <c r="DL69" i="1"/>
  <c r="DK59" i="1"/>
  <c r="DL61" i="1"/>
  <c r="DL74" i="1"/>
  <c r="DL56" i="1"/>
  <c r="DL54" i="1"/>
  <c r="DK53" i="1"/>
  <c r="CN78" i="1"/>
  <c r="FM5" i="1"/>
  <c r="DS5" i="1"/>
  <c r="DK54" i="1"/>
  <c r="DK56" i="1"/>
  <c r="DL70" i="1"/>
  <c r="CH78" i="1"/>
  <c r="EW5" i="1"/>
  <c r="EK5" i="1"/>
  <c r="DL65" i="1"/>
  <c r="DL60" i="1"/>
  <c r="DN5" i="1"/>
  <c r="FI5" i="1"/>
  <c r="EG5" i="1"/>
  <c r="FO5" i="1"/>
  <c r="DL5" i="1"/>
  <c r="DP5" i="1"/>
  <c r="FF5" i="1"/>
  <c r="FA5" i="1"/>
  <c r="DK5" i="1"/>
  <c r="DK60" i="1"/>
  <c r="EO5" i="1"/>
  <c r="DK62" i="1"/>
  <c r="DW5" i="1"/>
  <c r="DT5" i="1"/>
  <c r="DX5" i="1"/>
  <c r="DU5" i="1"/>
  <c r="EF5" i="1"/>
  <c r="EN5" i="1"/>
  <c r="FN5" i="1"/>
  <c r="EZ5" i="1"/>
  <c r="EB5" i="1"/>
  <c r="DR5" i="1"/>
  <c r="AU78" i="1"/>
  <c r="DK61" i="1"/>
  <c r="DM5" i="1"/>
  <c r="FJ5" i="1"/>
  <c r="EC5" i="1"/>
  <c r="FK5" i="1"/>
  <c r="EY5" i="1"/>
  <c r="FL5" i="1"/>
  <c r="EP5" i="1"/>
  <c r="ET5" i="1"/>
  <c r="DZ5" i="1"/>
  <c r="EJ5" i="1"/>
  <c r="DV5" i="1"/>
  <c r="FE5" i="1"/>
  <c r="ER5" i="1"/>
  <c r="EX5" i="1"/>
  <c r="FC5" i="1"/>
  <c r="EL5" i="1"/>
  <c r="EE5" i="1"/>
  <c r="FB5" i="1"/>
  <c r="FG5" i="1"/>
  <c r="ED5" i="1"/>
  <c r="EI5" i="1"/>
  <c r="EU5" i="1"/>
  <c r="DO5" i="1"/>
  <c r="DY5" i="1"/>
  <c r="EM5" i="1"/>
  <c r="FH5" i="1"/>
  <c r="ES5" i="1"/>
  <c r="DQ5" i="1"/>
  <c r="EH5" i="1"/>
  <c r="EQ5" i="1"/>
  <c r="EA5" i="1"/>
  <c r="EV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longtt</author>
  </authors>
  <commentList>
    <comment ref="EJ35" authorId="0" shapeId="0" xr:uid="{F4182350-75A6-44DA-B8AC-FF1244FB1165}">
      <text>
        <r>
          <rPr>
            <b/>
            <sz val="9"/>
            <color indexed="81"/>
            <rFont val="Segoe UI"/>
            <family val="2"/>
          </rPr>
          <t>longtt:</t>
        </r>
        <r>
          <rPr>
            <sz val="9"/>
            <color indexed="81"/>
            <rFont val="Segoe UI"/>
            <family val="2"/>
          </rPr>
          <t xml:space="preserve">
Dạy hill chiều thứ 2
</t>
        </r>
      </text>
    </comment>
    <comment ref="EJ36" authorId="0" shapeId="0" xr:uid="{4DC45B4B-55E4-4EDE-86A4-E796E3C16645}">
      <text>
        <r>
          <rPr>
            <b/>
            <sz val="9"/>
            <color indexed="81"/>
            <rFont val="Segoe UI"/>
            <family val="2"/>
          </rPr>
          <t>longtt:</t>
        </r>
        <r>
          <rPr>
            <sz val="9"/>
            <color indexed="81"/>
            <rFont val="Segoe UI"/>
            <family val="2"/>
          </rPr>
          <t xml:space="preserve">
Dạy hill chiều thứ 2
</t>
        </r>
      </text>
    </comment>
    <comment ref="EJ37" authorId="0" shapeId="0" xr:uid="{47391549-CF2F-41DE-A72A-FC197263565F}">
      <text>
        <r>
          <rPr>
            <b/>
            <sz val="9"/>
            <color indexed="81"/>
            <rFont val="Segoe UI"/>
            <family val="2"/>
          </rPr>
          <t>longtt:</t>
        </r>
        <r>
          <rPr>
            <sz val="9"/>
            <color indexed="81"/>
            <rFont val="Segoe UI"/>
            <family val="2"/>
          </rPr>
          <t xml:space="preserve">
Dạy hill chiều thứ 2
</t>
        </r>
      </text>
    </comment>
    <comment ref="EJ38" authorId="0" shapeId="0" xr:uid="{8435907F-0F5A-4079-BEBC-69C5EA7537B5}">
      <text>
        <r>
          <rPr>
            <b/>
            <sz val="9"/>
            <color indexed="81"/>
            <rFont val="Segoe UI"/>
            <family val="2"/>
          </rPr>
          <t>longtt:</t>
        </r>
        <r>
          <rPr>
            <sz val="9"/>
            <color indexed="81"/>
            <rFont val="Segoe UI"/>
            <family val="2"/>
          </rPr>
          <t xml:space="preserve">
Dạy hill chiều thứ 2
</t>
        </r>
      </text>
    </comment>
  </commentList>
</comments>
</file>

<file path=xl/sharedStrings.xml><?xml version="1.0" encoding="utf-8"?>
<sst xmlns="http://schemas.openxmlformats.org/spreadsheetml/2006/main" count="3493" uniqueCount="243">
  <si>
    <t>k</t>
  </si>
  <si>
    <t>THỜI KHÓA BIỂU KHỐI TRUNG HỌC</t>
  </si>
  <si>
    <t xml:space="preserve">     </t>
  </si>
  <si>
    <t>A</t>
  </si>
  <si>
    <t>Tuần Chẵn</t>
  </si>
  <si>
    <t>Tuần Lẻ</t>
  </si>
  <si>
    <t>Áp dụng từ ngày 28/9/2026</t>
  </si>
  <si>
    <t>Check</t>
  </si>
  <si>
    <t>12/16</t>
  </si>
  <si>
    <t>6/8</t>
  </si>
  <si>
    <t>Lớp</t>
  </si>
  <si>
    <t>6/1</t>
  </si>
  <si>
    <t>6/2</t>
  </si>
  <si>
    <t>6/3</t>
  </si>
  <si>
    <t>7/1</t>
  </si>
  <si>
    <t>7/2</t>
  </si>
  <si>
    <t>7/3</t>
  </si>
  <si>
    <t>7/4</t>
  </si>
  <si>
    <t>8/1</t>
  </si>
  <si>
    <t>8/2</t>
  </si>
  <si>
    <t>8/3</t>
  </si>
  <si>
    <t>9/1</t>
  </si>
  <si>
    <t>9/2</t>
  </si>
  <si>
    <t>9/3</t>
  </si>
  <si>
    <t>9/4</t>
  </si>
  <si>
    <t>10/1 (TN)</t>
  </si>
  <si>
    <t>10/2 (XH)</t>
  </si>
  <si>
    <t>11/1 (XH)</t>
  </si>
  <si>
    <t>12/1 (TN)</t>
  </si>
  <si>
    <t>12/2 (XH)</t>
  </si>
  <si>
    <t>6 UK</t>
  </si>
  <si>
    <t>6 INT</t>
  </si>
  <si>
    <t>7 UK</t>
  </si>
  <si>
    <t>7 INT</t>
  </si>
  <si>
    <t>8/1 INT</t>
  </si>
  <si>
    <t>8/2 INT</t>
  </si>
  <si>
    <t>9 UK</t>
  </si>
  <si>
    <t>9 INT</t>
  </si>
  <si>
    <t>10 INT (XH)</t>
  </si>
  <si>
    <t>11 INT</t>
  </si>
  <si>
    <t>12 INT</t>
  </si>
  <si>
    <t>6/4</t>
  </si>
  <si>
    <t>6/5</t>
  </si>
  <si>
    <t>7/5</t>
  </si>
  <si>
    <t>8/4</t>
  </si>
  <si>
    <t>9/5</t>
  </si>
  <si>
    <t>ĐI CƠ SỞ 4 / TIỂU HỌC</t>
  </si>
  <si>
    <t>Thứ</t>
  </si>
  <si>
    <t>Thời gian</t>
  </si>
  <si>
    <t>Tiết</t>
  </si>
  <si>
    <t>Môn</t>
  </si>
  <si>
    <t>GVGD</t>
  </si>
  <si>
    <t>TG</t>
  </si>
  <si>
    <t>Lab</t>
  </si>
  <si>
    <t>Lab 3</t>
  </si>
  <si>
    <t>Thủy HN</t>
  </si>
  <si>
    <t>Bông</t>
  </si>
  <si>
    <t>Hương V</t>
  </si>
  <si>
    <t>Nhung V</t>
  </si>
  <si>
    <t>Toàn</t>
  </si>
  <si>
    <t>Đài</t>
  </si>
  <si>
    <t>Mai</t>
  </si>
  <si>
    <t>Tài</t>
  </si>
  <si>
    <t>Hảo</t>
  </si>
  <si>
    <t>Nữ</t>
  </si>
  <si>
    <t>Tuấn KTPL</t>
  </si>
  <si>
    <t>Ni Na</t>
  </si>
  <si>
    <t>Trâm V</t>
  </si>
  <si>
    <t>Hùng</t>
  </si>
  <si>
    <t>Hiền V</t>
  </si>
  <si>
    <t>Hoàng</t>
  </si>
  <si>
    <t>Duyên</t>
  </si>
  <si>
    <t>Thương</t>
  </si>
  <si>
    <t>Tuấn ICT</t>
  </si>
  <si>
    <t>Trưởng</t>
  </si>
  <si>
    <t>Linh ICT</t>
  </si>
  <si>
    <t>Huy</t>
  </si>
  <si>
    <t>Tuấn TD</t>
  </si>
  <si>
    <t>Hồng S</t>
  </si>
  <si>
    <t>Lương</t>
  </si>
  <si>
    <t>Trà</t>
  </si>
  <si>
    <t>Linh TD</t>
  </si>
  <si>
    <t>Trinh STEAM</t>
  </si>
  <si>
    <t>Danh</t>
  </si>
  <si>
    <t>Thiên Ân</t>
  </si>
  <si>
    <t>Tâm V</t>
  </si>
  <si>
    <t>Hương Văn</t>
  </si>
  <si>
    <t>Hằng</t>
  </si>
  <si>
    <t>Phương MT</t>
  </si>
  <si>
    <t>Mi</t>
  </si>
  <si>
    <t>Lài</t>
  </si>
  <si>
    <t>Huế</t>
  </si>
  <si>
    <t>Tiến</t>
  </si>
  <si>
    <t>Sương</t>
  </si>
  <si>
    <t>Ngọc</t>
  </si>
  <si>
    <t>Yến</t>
  </si>
  <si>
    <t>Thu Bình</t>
  </si>
  <si>
    <t>Vân Anh</t>
  </si>
  <si>
    <t>Nhung Văn</t>
  </si>
  <si>
    <t>Châu</t>
  </si>
  <si>
    <t xml:space="preserve">Hai </t>
  </si>
  <si>
    <t>08:00 -  08:45</t>
  </si>
  <si>
    <t>HĐTN</t>
  </si>
  <si>
    <t>Mỹ Hiệu</t>
  </si>
  <si>
    <t>Tiền V</t>
  </si>
  <si>
    <t>Nga V</t>
  </si>
  <si>
    <t>Thái</t>
  </si>
  <si>
    <t>Thảo</t>
  </si>
  <si>
    <t>Như Anh</t>
  </si>
  <si>
    <t>Giang</t>
  </si>
  <si>
    <t>Thùy Nhi</t>
  </si>
  <si>
    <t>Hoài Phương</t>
  </si>
  <si>
    <t>Hiên</t>
  </si>
  <si>
    <t>Hiền Nhi</t>
  </si>
  <si>
    <t>Thảo Nguyên</t>
  </si>
  <si>
    <t>Lệ</t>
  </si>
  <si>
    <t>Ngọc Trâm</t>
  </si>
  <si>
    <t>Hồng Nhung</t>
  </si>
  <si>
    <t>Phúc</t>
  </si>
  <si>
    <t>Thi</t>
  </si>
  <si>
    <t>Vân</t>
  </si>
  <si>
    <t>08:50 -  09:35</t>
  </si>
  <si>
    <t>KHTN</t>
  </si>
  <si>
    <t>Mĩ Thuật</t>
  </si>
  <si>
    <t>Ngữ Văn</t>
  </si>
  <si>
    <t>Thể Dục</t>
  </si>
  <si>
    <t>Toán</t>
  </si>
  <si>
    <t>STEM</t>
  </si>
  <si>
    <t>Trinh</t>
  </si>
  <si>
    <t>Hoa T</t>
  </si>
  <si>
    <t>ESL</t>
  </si>
  <si>
    <t>Hóa Học</t>
  </si>
  <si>
    <t>Địa Lí</t>
  </si>
  <si>
    <t>Enrico</t>
  </si>
  <si>
    <t>Science</t>
  </si>
  <si>
    <t>Mike</t>
  </si>
  <si>
    <t>Trâm</t>
  </si>
  <si>
    <t>Maths</t>
  </si>
  <si>
    <t>Welfie</t>
  </si>
  <si>
    <t>Duy</t>
  </si>
  <si>
    <t>Lịch Sử</t>
  </si>
  <si>
    <t>TA-BGD</t>
  </si>
  <si>
    <t>CLB</t>
  </si>
  <si>
    <t>ICT</t>
  </si>
  <si>
    <t>Ngữ văn</t>
  </si>
  <si>
    <t>09:50 - 10:35</t>
  </si>
  <si>
    <t>Richard</t>
  </si>
  <si>
    <t>Saber</t>
  </si>
  <si>
    <t>GS</t>
  </si>
  <si>
    <t>Greg</t>
  </si>
  <si>
    <t>Mỹ Trung</t>
  </si>
  <si>
    <t>Bình</t>
  </si>
  <si>
    <t>SAT</t>
  </si>
  <si>
    <t>Nhung TA</t>
  </si>
  <si>
    <t>10:40 - 11:25</t>
  </si>
  <si>
    <t xml:space="preserve">Địa lí </t>
  </si>
  <si>
    <t>Ielts Preparation</t>
  </si>
  <si>
    <t>Tanna</t>
  </si>
  <si>
    <t>13:15 - 14:00</t>
  </si>
  <si>
    <t>Âm Nhạc</t>
  </si>
  <si>
    <t>TA-IELTS</t>
  </si>
  <si>
    <t>Angelie</t>
  </si>
  <si>
    <t>Mitchell</t>
  </si>
  <si>
    <t>GD KTPL</t>
  </si>
  <si>
    <t>Business</t>
  </si>
  <si>
    <t>Trang V</t>
  </si>
  <si>
    <t>Bruce</t>
  </si>
  <si>
    <t>Academic Research</t>
  </si>
  <si>
    <t>ELA</t>
  </si>
  <si>
    <t>Uyên</t>
  </si>
  <si>
    <t>GDTC</t>
  </si>
  <si>
    <t>Hải</t>
  </si>
  <si>
    <t>14:05 - 14:50</t>
  </si>
  <si>
    <t>Mĩ thuật</t>
  </si>
  <si>
    <t>15:05 - 15h50</t>
  </si>
  <si>
    <t>Âm Nhãn</t>
  </si>
  <si>
    <t>Academic English</t>
  </si>
  <si>
    <t>15:55 - 16h40</t>
  </si>
  <si>
    <t>Toán/GDCD</t>
  </si>
  <si>
    <t>MiKe</t>
  </si>
  <si>
    <t>Ba</t>
  </si>
  <si>
    <t>David học cs3</t>
  </si>
  <si>
    <t>Vật Lí</t>
  </si>
  <si>
    <t>CXXH</t>
  </si>
  <si>
    <t>Tâm ICT</t>
  </si>
  <si>
    <t>Sinh học/GD KTPL</t>
  </si>
  <si>
    <t>Hồng</t>
  </si>
  <si>
    <t>Sam</t>
  </si>
  <si>
    <t>Đăng</t>
  </si>
  <si>
    <t>Business Studies</t>
  </si>
  <si>
    <t>Independent Learning</t>
  </si>
  <si>
    <t>Sinh học</t>
  </si>
  <si>
    <t>Địa lí</t>
  </si>
  <si>
    <t>Ly Na</t>
  </si>
  <si>
    <t>CLB/CXXH</t>
  </si>
  <si>
    <t>Vi Dance</t>
  </si>
  <si>
    <t>Thanh KNS</t>
  </si>
  <si>
    <t>Thắng</t>
  </si>
  <si>
    <t>Hs CS3 sang CS1 học</t>
  </si>
  <si>
    <t>Sinh Học</t>
  </si>
  <si>
    <t>Global Studies</t>
  </si>
  <si>
    <t>Scott M</t>
  </si>
  <si>
    <t>Math</t>
  </si>
  <si>
    <t>Nhung</t>
  </si>
  <si>
    <t>Âm nhạc</t>
  </si>
  <si>
    <t>Bằng</t>
  </si>
  <si>
    <t>Tư</t>
  </si>
  <si>
    <t>Uyên S</t>
  </si>
  <si>
    <t>Hoá Học</t>
  </si>
  <si>
    <t>Yén</t>
  </si>
  <si>
    <t>Ngữ Văn/GDCD</t>
  </si>
  <si>
    <t>Tiếng Nhật</t>
  </si>
  <si>
    <t xml:space="preserve">  </t>
  </si>
  <si>
    <t>Thuỳ Nhi</t>
  </si>
  <si>
    <t>Năm</t>
  </si>
  <si>
    <t>$</t>
  </si>
  <si>
    <t>Gregg</t>
  </si>
  <si>
    <t>GDCD/ Toán</t>
  </si>
  <si>
    <t>David học CS3</t>
  </si>
  <si>
    <t>Linh Dance</t>
  </si>
  <si>
    <t>GDCD/Ngữ Văn</t>
  </si>
  <si>
    <t>GDCD/Toán</t>
  </si>
  <si>
    <t>Sáu</t>
  </si>
  <si>
    <t>Lan Anh</t>
  </si>
  <si>
    <t>TA_BGD</t>
  </si>
  <si>
    <t>CLB/STEM</t>
  </si>
  <si>
    <t>Nữ Dance</t>
  </si>
  <si>
    <t xml:space="preserve">    </t>
  </si>
  <si>
    <t>Xuân Thành</t>
  </si>
  <si>
    <t>ESL (6), ELA (7-12)</t>
  </si>
  <si>
    <t>I.Learning</t>
  </si>
  <si>
    <t>-</t>
  </si>
  <si>
    <t>Mathematics (Matific)</t>
  </si>
  <si>
    <t>A.Rearch</t>
  </si>
  <si>
    <t>A.E</t>
  </si>
  <si>
    <t>GD KT&amp;PL</t>
  </si>
  <si>
    <t>Khoa học tự nhiên</t>
  </si>
  <si>
    <t>Lịch sử</t>
  </si>
  <si>
    <t>Giáo dục công dân</t>
  </si>
  <si>
    <t>Giáo dục thể chất</t>
  </si>
  <si>
    <t>STEM / Công nghệ</t>
  </si>
  <si>
    <t>ICT-AI</t>
  </si>
  <si>
    <t>Hoạt động tập thể, HĐTN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</si>
</sst>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m/d"/>
  </numFmts>
  <fonts count="16">
    <font>
      <sz val="11"/>
      <color theme="1"/>
      <name val="Arial"/>
      <family val="2"/>
      <scheme val="minor"/>
    </font>
    <font>
      <b/>
      <sz val="11"/>
      <color rgb="FF269A97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sz val="9"/>
      <color theme="1"/>
      <name val="Times New Roman"/>
      <family val="1"/>
    </font>
    <font>
      <sz val="11"/>
      <color theme="0"/>
      <name val="Cambria"/>
      <family val="1"/>
    </font>
    <font>
      <sz val="11"/>
      <color theme="1"/>
      <name val="Cambria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mbria"/>
      <family val="1"/>
      <charset val="163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name val="Cambria"/>
      <family val="1"/>
    </font>
    <font>
      <b/>
      <sz val="11"/>
      <color theme="1"/>
      <name val="Arial"/>
      <family val="2"/>
      <scheme val="minor"/>
    </font>
    <font>
      <sz val="11"/>
      <color rgb="FFFF0000"/>
      <name val="Cambria"/>
      <family val="1"/>
      <charset val="163"/>
    </font>
    <font>
      <sz val="11"/>
      <color rgb="FF000000"/>
      <name val="Cambria"/>
      <family val="1"/>
      <charset val="163"/>
    </font>
  </fonts>
  <fills count="13">
    <fill>
      <patternFill patternType="none"/>
    </fill>
    <fill>
      <patternFill patternType="gray125"/>
    </fill>
    <fill>
      <patternFill patternType="solid">
        <fgColor rgb="FF269A9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B3EA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0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41" fontId="0" fillId="0" borderId="0" xfId="0" applyNumberFormat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41" fontId="3" fillId="8" borderId="0" xfId="0" applyNumberFormat="1" applyFont="1" applyFill="1" applyAlignment="1">
      <alignment horizontal="center" vertical="center" wrapText="1"/>
    </xf>
    <xf numFmtId="17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41" fontId="0" fillId="8" borderId="0" xfId="0" applyNumberFormat="1" applyFill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16" fontId="5" fillId="2" borderId="29" xfId="0" quotePrefix="1" applyNumberFormat="1" applyFont="1" applyFill="1" applyBorder="1" applyAlignment="1">
      <alignment horizontal="center" vertical="center" wrapText="1"/>
    </xf>
    <xf numFmtId="16" fontId="5" fillId="2" borderId="30" xfId="0" quotePrefix="1" applyNumberFormat="1" applyFont="1" applyFill="1" applyBorder="1" applyAlignment="1">
      <alignment horizontal="center" vertical="center" wrapText="1"/>
    </xf>
    <xf numFmtId="16" fontId="5" fillId="2" borderId="2" xfId="0" quotePrefix="1" applyNumberFormat="1" applyFont="1" applyFill="1" applyBorder="1" applyAlignment="1">
      <alignment horizontal="center" vertical="center" wrapText="1"/>
    </xf>
    <xf numFmtId="16" fontId="5" fillId="2" borderId="3" xfId="0" quotePrefix="1" applyNumberFormat="1" applyFont="1" applyFill="1" applyBorder="1" applyAlignment="1">
      <alignment horizontal="center" vertical="center" wrapText="1"/>
    </xf>
    <xf numFmtId="16" fontId="5" fillId="2" borderId="4" xfId="0" quotePrefix="1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" fontId="5" fillId="2" borderId="1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6" fontId="5" fillId="2" borderId="13" xfId="0" quotePrefix="1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6" fontId="5" fillId="3" borderId="2" xfId="0" quotePrefix="1" applyNumberFormat="1" applyFont="1" applyFill="1" applyBorder="1" applyAlignment="1">
      <alignment horizontal="center" vertical="center" wrapText="1"/>
    </xf>
    <xf numFmtId="16" fontId="5" fillId="3" borderId="3" xfId="0" quotePrefix="1" applyNumberFormat="1" applyFont="1" applyFill="1" applyBorder="1" applyAlignment="1">
      <alignment horizontal="center" vertical="center" wrapText="1"/>
    </xf>
    <xf numFmtId="16" fontId="5" fillId="3" borderId="4" xfId="0" quotePrefix="1" applyNumberFormat="1" applyFont="1" applyFill="1" applyBorder="1" applyAlignment="1">
      <alignment horizontal="center" vertical="center" wrapText="1"/>
    </xf>
    <xf numFmtId="16" fontId="5" fillId="3" borderId="13" xfId="0" quotePrefix="1" applyNumberFormat="1" applyFont="1" applyFill="1" applyBorder="1" applyAlignment="1">
      <alignment horizontal="center" vertical="center" wrapText="1"/>
    </xf>
    <xf numFmtId="16" fontId="5" fillId="3" borderId="24" xfId="0" quotePrefix="1" applyNumberFormat="1" applyFont="1" applyFill="1" applyBorder="1" applyAlignment="1">
      <alignment horizontal="center" vertical="center" wrapText="1"/>
    </xf>
    <xf numFmtId="16" fontId="5" fillId="3" borderId="22" xfId="0" quotePrefix="1" applyNumberFormat="1" applyFont="1" applyFill="1" applyBorder="1" applyAlignment="1">
      <alignment horizontal="center" vertical="center" wrapText="1"/>
    </xf>
    <xf numFmtId="16" fontId="5" fillId="3" borderId="25" xfId="0" quotePrefix="1" applyNumberFormat="1" applyFont="1" applyFill="1" applyBorder="1" applyAlignment="1">
      <alignment horizontal="center" vertical="center" wrapText="1"/>
    </xf>
    <xf numFmtId="16" fontId="5" fillId="2" borderId="1" xfId="0" quotePrefix="1" applyNumberFormat="1" applyFont="1" applyFill="1" applyBorder="1" applyAlignment="1">
      <alignment horizontal="center" vertical="center" wrapText="1"/>
    </xf>
  </cellXfs>
  <cellStyles count="2">
    <cellStyle name="Bình thường 2" xfId="1" xr:uid="{00000000-0005-0000-0000-000000000000}"/>
    <cellStyle name="Normal" xfId="0" builtinId="0"/>
  </cellStyles>
  <dxfs count="131">
    <dxf>
      <font>
        <b/>
        <color rgb="FF0070C0"/>
      </font>
      <fill>
        <patternFill patternType="none"/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FF33CC"/>
          <bgColor rgb="FFFF33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 patternType="solid"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B3EA"/>
      <color rgb="FFF77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O86"/>
  <sheetViews>
    <sheetView tabSelected="1" zoomScale="85" zoomScaleNormal="85" workbookViewId="0">
      <pane xSplit="4" ySplit="8" topLeftCell="AJ36" activePane="bottomRight" state="frozen"/>
      <selection pane="bottomRight" activeCell="AN37" sqref="AN37"/>
      <selection pane="bottomLeft" activeCell="A9" sqref="A9"/>
      <selection pane="topRight" activeCell="E1" sqref="E1"/>
    </sheetView>
  </sheetViews>
  <sheetFormatPr defaultColWidth="9.25" defaultRowHeight="14.25" customHeight="1"/>
  <cols>
    <col min="1" max="2" width="9.25" style="1"/>
    <col min="3" max="3" width="21.375" style="4" customWidth="1"/>
    <col min="4" max="4" width="10.25" style="1" customWidth="1"/>
    <col min="5" max="85" width="11.5" style="1" customWidth="1"/>
    <col min="86" max="86" width="10.75" style="1" customWidth="1"/>
    <col min="87" max="88" width="11.5" style="1" customWidth="1"/>
    <col min="89" max="89" width="12.875" style="1" customWidth="1"/>
    <col min="90" max="114" width="11.5" style="1" customWidth="1"/>
    <col min="115" max="116" width="10.25" style="1" customWidth="1"/>
    <col min="117" max="131" width="10.625" style="1" customWidth="1"/>
    <col min="132" max="132" width="10.875" style="1" customWidth="1"/>
    <col min="133" max="133" width="9.25" style="1" customWidth="1"/>
    <col min="134" max="134" width="11.125" style="1" customWidth="1"/>
    <col min="135" max="170" width="9.25" style="1" customWidth="1"/>
    <col min="171" max="16384" width="9.25" style="1"/>
  </cols>
  <sheetData>
    <row r="1" spans="2:171" ht="18" customHeight="1">
      <c r="BR1" s="1" t="s">
        <v>0</v>
      </c>
    </row>
    <row r="2" spans="2:171" ht="20.25" customHeight="1">
      <c r="B2" s="93" t="s">
        <v>1</v>
      </c>
      <c r="C2" s="93"/>
      <c r="D2" s="93"/>
      <c r="E2" s="2"/>
      <c r="F2" s="2"/>
      <c r="G2" s="2"/>
      <c r="H2" s="2"/>
      <c r="I2" s="2"/>
      <c r="J2" s="2"/>
      <c r="K2" s="2"/>
      <c r="L2" s="2"/>
      <c r="M2" s="2"/>
      <c r="BH2" s="1" t="s">
        <v>2</v>
      </c>
      <c r="BK2" s="1" t="s">
        <v>3</v>
      </c>
      <c r="CR2" s="6"/>
      <c r="CS2" s="1" t="s">
        <v>4</v>
      </c>
      <c r="CX2" s="7"/>
      <c r="CY2" s="1" t="s">
        <v>5</v>
      </c>
      <c r="DA2" s="24"/>
      <c r="DB2" s="24"/>
      <c r="DC2" s="24"/>
      <c r="DD2" s="24"/>
      <c r="DE2" s="24"/>
      <c r="DF2" s="24"/>
      <c r="DG2" s="24"/>
    </row>
    <row r="3" spans="2:171" ht="24.75" customHeight="1">
      <c r="B3" s="94" t="s">
        <v>6</v>
      </c>
      <c r="C3" s="94"/>
      <c r="D3" s="94"/>
      <c r="E3" s="3"/>
      <c r="F3" s="3"/>
      <c r="G3" s="3"/>
      <c r="H3" s="3"/>
      <c r="I3" s="3"/>
      <c r="J3" s="3"/>
      <c r="K3" s="3"/>
      <c r="L3" s="3"/>
      <c r="M3" s="3"/>
      <c r="DA3" s="24"/>
      <c r="DB3" s="24"/>
      <c r="DC3" s="24"/>
      <c r="DD3" s="24"/>
      <c r="DE3" s="24"/>
      <c r="DF3" s="24"/>
      <c r="DG3" s="24"/>
    </row>
    <row r="4" spans="2:171" ht="19.5" customHeight="1">
      <c r="D4" s="1" t="s">
        <v>7</v>
      </c>
      <c r="E4" s="1">
        <f>COUNTA(E8:E51)</f>
        <v>40</v>
      </c>
      <c r="F4" s="1">
        <f t="shared" ref="F4:BN4" si="0">COUNTA(F8:F51)</f>
        <v>40</v>
      </c>
      <c r="G4" s="3"/>
      <c r="H4" s="1">
        <f t="shared" si="0"/>
        <v>40</v>
      </c>
      <c r="I4" s="1">
        <f t="shared" si="0"/>
        <v>40</v>
      </c>
      <c r="J4" s="3"/>
      <c r="K4" s="1">
        <f>COUNTA(K8:K51)</f>
        <v>40</v>
      </c>
      <c r="L4" s="1">
        <f t="shared" si="0"/>
        <v>40</v>
      </c>
      <c r="M4" s="3"/>
      <c r="N4" s="1">
        <f>COUNTA(N8:N51)</f>
        <v>40</v>
      </c>
      <c r="O4" s="1">
        <f>COUNTA(O8:O51)</f>
        <v>40</v>
      </c>
      <c r="P4" s="3"/>
      <c r="Q4" s="1">
        <f>COUNTA(Q8:Q51)</f>
        <v>40</v>
      </c>
      <c r="R4" s="1">
        <f>COUNTA(R8:R51)</f>
        <v>40</v>
      </c>
      <c r="S4" s="3"/>
      <c r="T4" s="1">
        <f>COUNTA(T8:T51)</f>
        <v>40</v>
      </c>
      <c r="U4" s="1">
        <f>COUNTA(U8:U51)</f>
        <v>40</v>
      </c>
      <c r="V4" s="3"/>
      <c r="W4" s="1">
        <f>COUNTA(W8:W51)</f>
        <v>40</v>
      </c>
      <c r="X4" s="1">
        <f>COUNTA(X8:X51)</f>
        <v>40</v>
      </c>
      <c r="Y4" s="3"/>
      <c r="Z4" s="1">
        <f t="shared" si="0"/>
        <v>40</v>
      </c>
      <c r="AA4" s="1">
        <f t="shared" si="0"/>
        <v>40</v>
      </c>
      <c r="AB4" s="3"/>
      <c r="AC4" s="1">
        <f t="shared" si="0"/>
        <v>40</v>
      </c>
      <c r="AD4" s="1">
        <f t="shared" si="0"/>
        <v>40</v>
      </c>
      <c r="AE4" s="3"/>
      <c r="AF4" s="1">
        <f t="shared" si="0"/>
        <v>40</v>
      </c>
      <c r="AG4" s="1">
        <f t="shared" si="0"/>
        <v>40</v>
      </c>
      <c r="AH4" s="3"/>
      <c r="AI4" s="1">
        <f t="shared" si="0"/>
        <v>40</v>
      </c>
      <c r="AJ4" s="1">
        <f t="shared" si="0"/>
        <v>40</v>
      </c>
      <c r="AK4" s="3"/>
      <c r="AL4" s="1">
        <f t="shared" si="0"/>
        <v>40</v>
      </c>
      <c r="AM4" s="1">
        <f t="shared" si="0"/>
        <v>40</v>
      </c>
      <c r="AN4" s="3"/>
      <c r="AO4" s="1">
        <f t="shared" si="0"/>
        <v>40</v>
      </c>
      <c r="AP4" s="1">
        <f t="shared" si="0"/>
        <v>40</v>
      </c>
      <c r="AQ4" s="3"/>
      <c r="AR4" s="1">
        <f t="shared" si="0"/>
        <v>40</v>
      </c>
      <c r="AS4" s="1">
        <f t="shared" si="0"/>
        <v>40</v>
      </c>
      <c r="AU4" s="1">
        <f t="shared" si="0"/>
        <v>40</v>
      </c>
      <c r="AV4" s="1">
        <f t="shared" si="0"/>
        <v>40</v>
      </c>
      <c r="AX4" s="1">
        <f t="shared" si="0"/>
        <v>40</v>
      </c>
      <c r="AY4" s="1">
        <f t="shared" si="0"/>
        <v>40</v>
      </c>
      <c r="BA4" s="1">
        <f t="shared" si="0"/>
        <v>40</v>
      </c>
      <c r="BB4" s="1">
        <f t="shared" si="0"/>
        <v>40</v>
      </c>
      <c r="BD4" s="1">
        <f t="shared" si="0"/>
        <v>40</v>
      </c>
      <c r="BE4" s="1">
        <f t="shared" si="0"/>
        <v>40</v>
      </c>
      <c r="BG4" s="1">
        <f t="shared" si="0"/>
        <v>40</v>
      </c>
      <c r="BH4" s="1">
        <f>COUNTA(BH8:BH51)</f>
        <v>40</v>
      </c>
      <c r="BJ4" s="1">
        <f t="shared" si="0"/>
        <v>40</v>
      </c>
      <c r="BK4" s="1">
        <f t="shared" si="0"/>
        <v>40</v>
      </c>
      <c r="BL4" s="26" t="s">
        <v>8</v>
      </c>
      <c r="BM4" s="1">
        <f t="shared" si="0"/>
        <v>40</v>
      </c>
      <c r="BN4" s="1">
        <f t="shared" si="0"/>
        <v>40</v>
      </c>
      <c r="BO4" s="27"/>
      <c r="BP4" s="1">
        <f t="shared" ref="BP4:BQ4" si="1">COUNTA(BP8:BP51)</f>
        <v>40</v>
      </c>
      <c r="BQ4" s="1">
        <f t="shared" si="1"/>
        <v>40</v>
      </c>
      <c r="BR4" s="27"/>
      <c r="BS4" s="1">
        <f t="shared" ref="BS4:DH4" si="2">COUNTA(BS8:BS51)</f>
        <v>40</v>
      </c>
      <c r="BT4" s="1">
        <f>COUNTA(BT8:BT51)</f>
        <v>40</v>
      </c>
      <c r="BV4" s="1">
        <f t="shared" si="2"/>
        <v>40</v>
      </c>
      <c r="BW4" s="1">
        <f t="shared" si="2"/>
        <v>40</v>
      </c>
      <c r="BY4" s="1">
        <f t="shared" si="2"/>
        <v>40</v>
      </c>
      <c r="BZ4" s="1">
        <f t="shared" si="2"/>
        <v>40</v>
      </c>
      <c r="CB4" s="1">
        <f t="shared" si="2"/>
        <v>40</v>
      </c>
      <c r="CC4" s="1">
        <f t="shared" si="2"/>
        <v>40</v>
      </c>
      <c r="CE4" s="1">
        <f t="shared" si="2"/>
        <v>40</v>
      </c>
      <c r="CF4" s="1">
        <f t="shared" si="2"/>
        <v>40</v>
      </c>
      <c r="CH4" s="1">
        <f t="shared" si="2"/>
        <v>40</v>
      </c>
      <c r="CI4" s="1">
        <f t="shared" si="2"/>
        <v>40</v>
      </c>
      <c r="CJ4" s="27" t="s">
        <v>9</v>
      </c>
      <c r="CK4" s="1">
        <f t="shared" si="2"/>
        <v>40</v>
      </c>
      <c r="CL4" s="1">
        <f t="shared" si="2"/>
        <v>40</v>
      </c>
      <c r="CN4" s="1">
        <f t="shared" si="2"/>
        <v>40</v>
      </c>
      <c r="CO4" s="1">
        <f t="shared" si="2"/>
        <v>40</v>
      </c>
      <c r="CQ4" s="1">
        <f>COUNTA(CQ8:CQ51)</f>
        <v>40</v>
      </c>
      <c r="CR4" s="1">
        <f t="shared" si="2"/>
        <v>40</v>
      </c>
      <c r="CW4" s="1">
        <f t="shared" si="2"/>
        <v>40</v>
      </c>
      <c r="CX4" s="1">
        <f t="shared" si="2"/>
        <v>40</v>
      </c>
      <c r="CZ4" s="1">
        <f t="shared" si="2"/>
        <v>40</v>
      </c>
      <c r="DA4" s="1">
        <f t="shared" si="2"/>
        <v>40</v>
      </c>
      <c r="DC4" s="1">
        <f t="shared" si="2"/>
        <v>40</v>
      </c>
      <c r="DD4" s="1">
        <f t="shared" si="2"/>
        <v>40</v>
      </c>
      <c r="DH4" s="1">
        <f t="shared" si="2"/>
        <v>21</v>
      </c>
    </row>
    <row r="5" spans="2:171" ht="25.5" customHeight="1">
      <c r="B5" s="15"/>
      <c r="C5" s="16"/>
      <c r="D5" s="23" t="s">
        <v>10</v>
      </c>
      <c r="E5" s="79" t="s">
        <v>11</v>
      </c>
      <c r="F5" s="80"/>
      <c r="G5" s="81"/>
      <c r="H5" s="90" t="s">
        <v>12</v>
      </c>
      <c r="I5" s="80"/>
      <c r="J5" s="81"/>
      <c r="K5" s="90" t="s">
        <v>13</v>
      </c>
      <c r="L5" s="80"/>
      <c r="M5" s="81"/>
      <c r="N5" s="79" t="s">
        <v>14</v>
      </c>
      <c r="O5" s="80"/>
      <c r="P5" s="81"/>
      <c r="Q5" s="90" t="s">
        <v>15</v>
      </c>
      <c r="R5" s="80"/>
      <c r="S5" s="85"/>
      <c r="T5" s="105" t="s">
        <v>16</v>
      </c>
      <c r="U5" s="105"/>
      <c r="V5" s="105"/>
      <c r="W5" s="90" t="s">
        <v>17</v>
      </c>
      <c r="X5" s="80"/>
      <c r="Y5" s="81"/>
      <c r="Z5" s="79" t="s">
        <v>18</v>
      </c>
      <c r="AA5" s="80"/>
      <c r="AB5" s="85"/>
      <c r="AC5" s="79" t="s">
        <v>19</v>
      </c>
      <c r="AD5" s="80"/>
      <c r="AE5" s="81"/>
      <c r="AF5" s="90" t="s">
        <v>20</v>
      </c>
      <c r="AG5" s="80"/>
      <c r="AH5" s="81"/>
      <c r="AI5" s="79" t="s">
        <v>21</v>
      </c>
      <c r="AJ5" s="80"/>
      <c r="AK5" s="85"/>
      <c r="AL5" s="79" t="s">
        <v>22</v>
      </c>
      <c r="AM5" s="80"/>
      <c r="AN5" s="81"/>
      <c r="AO5" s="90" t="s">
        <v>23</v>
      </c>
      <c r="AP5" s="80"/>
      <c r="AQ5" s="85"/>
      <c r="AR5" s="79" t="s">
        <v>24</v>
      </c>
      <c r="AS5" s="80"/>
      <c r="AT5" s="81"/>
      <c r="AU5" s="79" t="s">
        <v>25</v>
      </c>
      <c r="AV5" s="80"/>
      <c r="AW5" s="81"/>
      <c r="AX5" s="79" t="s">
        <v>26</v>
      </c>
      <c r="AY5" s="80"/>
      <c r="AZ5" s="81"/>
      <c r="BA5" s="79" t="s">
        <v>27</v>
      </c>
      <c r="BB5" s="80"/>
      <c r="BC5" s="85"/>
      <c r="BD5" s="79" t="s">
        <v>28</v>
      </c>
      <c r="BE5" s="80"/>
      <c r="BF5" s="81"/>
      <c r="BG5" s="90" t="s">
        <v>29</v>
      </c>
      <c r="BH5" s="80"/>
      <c r="BI5" s="85"/>
      <c r="BJ5" s="98" t="s">
        <v>30</v>
      </c>
      <c r="BK5" s="99"/>
      <c r="BL5" s="100"/>
      <c r="BM5" s="101" t="s">
        <v>31</v>
      </c>
      <c r="BN5" s="99"/>
      <c r="BO5" s="100"/>
      <c r="BP5" s="98" t="s">
        <v>32</v>
      </c>
      <c r="BQ5" s="99"/>
      <c r="BR5" s="100"/>
      <c r="BS5" s="101" t="s">
        <v>33</v>
      </c>
      <c r="BT5" s="99"/>
      <c r="BU5" s="100"/>
      <c r="BV5" s="98" t="s">
        <v>34</v>
      </c>
      <c r="BW5" s="99"/>
      <c r="BX5" s="100"/>
      <c r="BY5" s="101" t="s">
        <v>35</v>
      </c>
      <c r="BZ5" s="99"/>
      <c r="CA5" s="100"/>
      <c r="CB5" s="102" t="s">
        <v>36</v>
      </c>
      <c r="CC5" s="103"/>
      <c r="CD5" s="104"/>
      <c r="CE5" s="102" t="s">
        <v>37</v>
      </c>
      <c r="CF5" s="103"/>
      <c r="CG5" s="104"/>
      <c r="CH5" s="98" t="s">
        <v>38</v>
      </c>
      <c r="CI5" s="99"/>
      <c r="CJ5" s="100"/>
      <c r="CK5" s="98" t="s">
        <v>39</v>
      </c>
      <c r="CL5" s="99"/>
      <c r="CM5" s="100"/>
      <c r="CN5" s="101" t="s">
        <v>40</v>
      </c>
      <c r="CO5" s="99"/>
      <c r="CP5" s="100"/>
      <c r="CQ5" s="79" t="s">
        <v>41</v>
      </c>
      <c r="CR5" s="80"/>
      <c r="CS5" s="81"/>
      <c r="CT5" s="79" t="s">
        <v>42</v>
      </c>
      <c r="CU5" s="80"/>
      <c r="CV5" s="81"/>
      <c r="CW5" s="79" t="s">
        <v>43</v>
      </c>
      <c r="CX5" s="80"/>
      <c r="CY5" s="81"/>
      <c r="CZ5" s="79" t="s">
        <v>44</v>
      </c>
      <c r="DA5" s="80"/>
      <c r="DB5" s="81"/>
      <c r="DC5" s="90" t="s">
        <v>45</v>
      </c>
      <c r="DD5" s="80"/>
      <c r="DE5" s="81"/>
      <c r="DF5" s="77" t="s">
        <v>46</v>
      </c>
      <c r="DG5" s="78"/>
      <c r="DH5" s="78"/>
      <c r="DI5" s="78"/>
      <c r="DJ5" s="78"/>
      <c r="DK5" s="5">
        <f>SUM(DK8:DK51)</f>
        <v>34</v>
      </c>
      <c r="DL5" s="5">
        <f>SUM(DL8:DL51)</f>
        <v>21</v>
      </c>
      <c r="DM5" s="5">
        <f>SUM(DM8:DM51)</f>
        <v>18</v>
      </c>
      <c r="DN5" s="5">
        <f t="shared" ref="DN5:FO5" si="3">SUM(DN8:DN51)</f>
        <v>8</v>
      </c>
      <c r="DO5" s="5">
        <f t="shared" si="3"/>
        <v>21</v>
      </c>
      <c r="DP5" s="5">
        <f t="shared" si="3"/>
        <v>20</v>
      </c>
      <c r="DQ5" s="5">
        <f t="shared" si="3"/>
        <v>27</v>
      </c>
      <c r="DR5" s="5">
        <f t="shared" si="3"/>
        <v>32</v>
      </c>
      <c r="DS5" s="5">
        <f t="shared" si="3"/>
        <v>17</v>
      </c>
      <c r="DT5" s="5">
        <f t="shared" si="3"/>
        <v>24</v>
      </c>
      <c r="DU5" s="5">
        <f t="shared" si="3"/>
        <v>21</v>
      </c>
      <c r="DV5" s="5">
        <f t="shared" si="3"/>
        <v>21</v>
      </c>
      <c r="DW5" s="5">
        <f t="shared" si="3"/>
        <v>10</v>
      </c>
      <c r="DX5" s="5">
        <f t="shared" si="3"/>
        <v>24</v>
      </c>
      <c r="DY5" s="5">
        <f t="shared" si="3"/>
        <v>17</v>
      </c>
      <c r="DZ5" s="5">
        <f t="shared" si="3"/>
        <v>19</v>
      </c>
      <c r="EA5" s="5">
        <f t="shared" si="3"/>
        <v>6</v>
      </c>
      <c r="EB5" s="5">
        <f t="shared" si="3"/>
        <v>21</v>
      </c>
      <c r="EC5" s="5">
        <f t="shared" si="3"/>
        <v>22</v>
      </c>
      <c r="ED5" s="5">
        <f t="shared" si="3"/>
        <v>24</v>
      </c>
      <c r="EE5" s="5">
        <f t="shared" si="3"/>
        <v>29</v>
      </c>
      <c r="EF5" s="5">
        <f t="shared" si="3"/>
        <v>34</v>
      </c>
      <c r="EG5" s="5">
        <f t="shared" si="3"/>
        <v>20</v>
      </c>
      <c r="EH5" s="5">
        <f t="shared" si="3"/>
        <v>3</v>
      </c>
      <c r="EI5" s="5">
        <f t="shared" si="3"/>
        <v>22</v>
      </c>
      <c r="EJ5" s="5">
        <f t="shared" si="3"/>
        <v>21</v>
      </c>
      <c r="EK5" s="5">
        <f t="shared" si="3"/>
        <v>25</v>
      </c>
      <c r="EL5" s="5">
        <f t="shared" si="3"/>
        <v>6</v>
      </c>
      <c r="EM5" s="5">
        <f t="shared" si="3"/>
        <v>8</v>
      </c>
      <c r="EN5" s="5">
        <f t="shared" si="3"/>
        <v>25</v>
      </c>
      <c r="EO5" s="5">
        <f t="shared" si="3"/>
        <v>24</v>
      </c>
      <c r="EP5" s="5">
        <f t="shared" si="3"/>
        <v>25</v>
      </c>
      <c r="EQ5" s="5">
        <f t="shared" si="3"/>
        <v>28</v>
      </c>
      <c r="ER5" s="5">
        <f t="shared" si="3"/>
        <v>23</v>
      </c>
      <c r="ES5" s="5">
        <f t="shared" si="3"/>
        <v>28</v>
      </c>
      <c r="ET5" s="5">
        <f t="shared" si="3"/>
        <v>27</v>
      </c>
      <c r="EU5" s="5">
        <f t="shared" si="3"/>
        <v>24</v>
      </c>
      <c r="EV5" s="5">
        <f t="shared" si="3"/>
        <v>10</v>
      </c>
      <c r="EW5" s="5">
        <f t="shared" si="3"/>
        <v>21</v>
      </c>
      <c r="EX5" s="5">
        <f t="shared" si="3"/>
        <v>32</v>
      </c>
      <c r="EY5" s="5">
        <f t="shared" si="3"/>
        <v>12</v>
      </c>
      <c r="EZ5" s="5">
        <f t="shared" si="3"/>
        <v>3</v>
      </c>
      <c r="FA5" s="5">
        <f t="shared" si="3"/>
        <v>16</v>
      </c>
      <c r="FB5" s="5">
        <f t="shared" si="3"/>
        <v>18</v>
      </c>
      <c r="FC5" s="5">
        <f t="shared" si="3"/>
        <v>8</v>
      </c>
      <c r="FD5" s="5">
        <f t="shared" si="3"/>
        <v>20</v>
      </c>
      <c r="FE5" s="5">
        <f t="shared" si="3"/>
        <v>21</v>
      </c>
      <c r="FF5" s="5">
        <f t="shared" si="3"/>
        <v>17</v>
      </c>
      <c r="FG5" s="5">
        <f t="shared" si="3"/>
        <v>22</v>
      </c>
      <c r="FH5" s="5">
        <f t="shared" si="3"/>
        <v>10</v>
      </c>
      <c r="FI5" s="5">
        <f t="shared" si="3"/>
        <v>8</v>
      </c>
      <c r="FJ5" s="5">
        <f t="shared" si="3"/>
        <v>27</v>
      </c>
      <c r="FK5" s="5">
        <f t="shared" si="3"/>
        <v>24</v>
      </c>
      <c r="FL5" s="5">
        <f t="shared" si="3"/>
        <v>19</v>
      </c>
      <c r="FM5" s="5">
        <f t="shared" si="3"/>
        <v>20</v>
      </c>
      <c r="FN5" s="5">
        <f t="shared" si="3"/>
        <v>12</v>
      </c>
      <c r="FO5" s="5">
        <f t="shared" si="3"/>
        <v>18</v>
      </c>
    </row>
    <row r="6" spans="2:171" ht="50.25" customHeight="1">
      <c r="B6" s="17"/>
      <c r="C6" s="11"/>
      <c r="D6" s="18"/>
      <c r="E6" s="91"/>
      <c r="F6" s="83"/>
      <c r="G6" s="84"/>
      <c r="H6" s="82"/>
      <c r="I6" s="83"/>
      <c r="J6" s="84"/>
      <c r="K6" s="82"/>
      <c r="L6" s="83"/>
      <c r="M6" s="84"/>
      <c r="N6" s="91"/>
      <c r="O6" s="83"/>
      <c r="P6" s="84"/>
      <c r="Q6" s="82"/>
      <c r="R6" s="83"/>
      <c r="S6" s="92"/>
      <c r="T6" s="83"/>
      <c r="U6" s="83"/>
      <c r="V6" s="83"/>
      <c r="W6" s="82"/>
      <c r="X6" s="83"/>
      <c r="Y6" s="84"/>
      <c r="Z6" s="91"/>
      <c r="AA6" s="83"/>
      <c r="AB6" s="92"/>
      <c r="AC6" s="91"/>
      <c r="AD6" s="83"/>
      <c r="AE6" s="84"/>
      <c r="AF6" s="82"/>
      <c r="AG6" s="83"/>
      <c r="AH6" s="84"/>
      <c r="AI6" s="91"/>
      <c r="AJ6" s="83"/>
      <c r="AK6" s="92"/>
      <c r="AL6" s="91"/>
      <c r="AM6" s="83"/>
      <c r="AN6" s="84"/>
      <c r="AO6" s="82"/>
      <c r="AP6" s="83"/>
      <c r="AQ6" s="92"/>
      <c r="AR6" s="91"/>
      <c r="AS6" s="83"/>
      <c r="AT6" s="84"/>
      <c r="AU6" s="91"/>
      <c r="AV6" s="83"/>
      <c r="AW6" s="84"/>
      <c r="AX6" s="91"/>
      <c r="AY6" s="83"/>
      <c r="AZ6" s="84"/>
      <c r="BA6" s="43"/>
      <c r="BB6" s="43"/>
      <c r="BC6" s="43"/>
      <c r="BD6" s="91"/>
      <c r="BE6" s="83"/>
      <c r="BF6" s="84"/>
      <c r="BG6" s="82"/>
      <c r="BH6" s="83"/>
      <c r="BI6" s="92"/>
      <c r="BJ6" s="86"/>
      <c r="BK6" s="87"/>
      <c r="BL6" s="88"/>
      <c r="BM6" s="89"/>
      <c r="BN6" s="87"/>
      <c r="BO6" s="88"/>
      <c r="BP6" s="86"/>
      <c r="BQ6" s="87"/>
      <c r="BR6" s="88"/>
      <c r="BS6" s="89"/>
      <c r="BT6" s="87"/>
      <c r="BU6" s="88"/>
      <c r="BV6" s="86"/>
      <c r="BW6" s="87"/>
      <c r="BX6" s="88"/>
      <c r="BY6" s="86"/>
      <c r="BZ6" s="87"/>
      <c r="CA6" s="88"/>
      <c r="CB6" s="86"/>
      <c r="CC6" s="87"/>
      <c r="CD6" s="88"/>
      <c r="CE6" s="44"/>
      <c r="CF6" s="44"/>
      <c r="CG6" s="44"/>
      <c r="CH6" s="86"/>
      <c r="CI6" s="87"/>
      <c r="CJ6" s="88"/>
      <c r="CK6" s="86"/>
      <c r="CL6" s="87"/>
      <c r="CM6" s="88"/>
      <c r="CN6" s="89"/>
      <c r="CO6" s="87"/>
      <c r="CP6" s="88"/>
      <c r="CQ6" s="91"/>
      <c r="CR6" s="83"/>
      <c r="CS6" s="84"/>
      <c r="CT6" s="43"/>
      <c r="CU6" s="43"/>
      <c r="CV6" s="43"/>
      <c r="CW6" s="91"/>
      <c r="CX6" s="83"/>
      <c r="CY6" s="84"/>
      <c r="CZ6" s="91"/>
      <c r="DA6" s="83"/>
      <c r="DB6" s="84"/>
      <c r="DC6" s="82"/>
      <c r="DD6" s="83"/>
      <c r="DE6" s="84"/>
      <c r="DF6" s="75"/>
      <c r="DG6" s="76"/>
      <c r="DH6" s="76"/>
      <c r="DI6" s="76"/>
      <c r="DJ6" s="76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</row>
    <row r="7" spans="2:171" ht="25.5" customHeight="1">
      <c r="B7" s="19" t="s">
        <v>47</v>
      </c>
      <c r="C7" s="20" t="s">
        <v>48</v>
      </c>
      <c r="D7" s="21" t="s">
        <v>49</v>
      </c>
      <c r="E7" s="32" t="s">
        <v>50</v>
      </c>
      <c r="F7" s="33" t="s">
        <v>51</v>
      </c>
      <c r="G7" s="34" t="s">
        <v>52</v>
      </c>
      <c r="H7" s="35" t="s">
        <v>50</v>
      </c>
      <c r="I7" s="33" t="s">
        <v>51</v>
      </c>
      <c r="J7" s="34" t="s">
        <v>52</v>
      </c>
      <c r="K7" s="35" t="s">
        <v>50</v>
      </c>
      <c r="L7" s="33" t="s">
        <v>51</v>
      </c>
      <c r="M7" s="34" t="s">
        <v>52</v>
      </c>
      <c r="N7" s="32" t="s">
        <v>50</v>
      </c>
      <c r="O7" s="33" t="s">
        <v>51</v>
      </c>
      <c r="P7" s="34" t="s">
        <v>52</v>
      </c>
      <c r="Q7" s="35" t="s">
        <v>50</v>
      </c>
      <c r="R7" s="33" t="s">
        <v>51</v>
      </c>
      <c r="S7" s="34" t="s">
        <v>52</v>
      </c>
      <c r="T7" s="35" t="s">
        <v>50</v>
      </c>
      <c r="U7" s="33" t="s">
        <v>51</v>
      </c>
      <c r="V7" s="34" t="s">
        <v>52</v>
      </c>
      <c r="W7" s="35" t="s">
        <v>50</v>
      </c>
      <c r="X7" s="33" t="s">
        <v>51</v>
      </c>
      <c r="Y7" s="34" t="s">
        <v>52</v>
      </c>
      <c r="Z7" s="32" t="s">
        <v>50</v>
      </c>
      <c r="AA7" s="33" t="s">
        <v>51</v>
      </c>
      <c r="AB7" s="36" t="s">
        <v>52</v>
      </c>
      <c r="AC7" s="32" t="s">
        <v>50</v>
      </c>
      <c r="AD7" s="33" t="s">
        <v>51</v>
      </c>
      <c r="AE7" s="34" t="s">
        <v>52</v>
      </c>
      <c r="AF7" s="35" t="s">
        <v>50</v>
      </c>
      <c r="AG7" s="33" t="s">
        <v>51</v>
      </c>
      <c r="AH7" s="34" t="s">
        <v>52</v>
      </c>
      <c r="AI7" s="32" t="s">
        <v>50</v>
      </c>
      <c r="AJ7" s="33" t="s">
        <v>51</v>
      </c>
      <c r="AK7" s="36" t="s">
        <v>52</v>
      </c>
      <c r="AL7" s="32" t="s">
        <v>50</v>
      </c>
      <c r="AM7" s="33" t="s">
        <v>51</v>
      </c>
      <c r="AN7" s="34" t="s">
        <v>52</v>
      </c>
      <c r="AO7" s="35" t="s">
        <v>50</v>
      </c>
      <c r="AP7" s="33" t="s">
        <v>51</v>
      </c>
      <c r="AQ7" s="36" t="s">
        <v>52</v>
      </c>
      <c r="AR7" s="32" t="s">
        <v>50</v>
      </c>
      <c r="AS7" s="33" t="s">
        <v>51</v>
      </c>
      <c r="AT7" s="34" t="s">
        <v>52</v>
      </c>
      <c r="AU7" s="32" t="s">
        <v>50</v>
      </c>
      <c r="AV7" s="33" t="s">
        <v>51</v>
      </c>
      <c r="AW7" s="34" t="s">
        <v>52</v>
      </c>
      <c r="AX7" s="32" t="s">
        <v>50</v>
      </c>
      <c r="AY7" s="33" t="s">
        <v>51</v>
      </c>
      <c r="AZ7" s="34" t="s">
        <v>52</v>
      </c>
      <c r="BA7" s="32" t="s">
        <v>50</v>
      </c>
      <c r="BB7" s="33" t="s">
        <v>51</v>
      </c>
      <c r="BC7" s="34" t="s">
        <v>52</v>
      </c>
      <c r="BD7" s="32" t="s">
        <v>50</v>
      </c>
      <c r="BE7" s="33" t="s">
        <v>51</v>
      </c>
      <c r="BF7" s="34" t="s">
        <v>52</v>
      </c>
      <c r="BG7" s="35" t="s">
        <v>50</v>
      </c>
      <c r="BH7" s="33" t="s">
        <v>51</v>
      </c>
      <c r="BI7" s="36" t="s">
        <v>52</v>
      </c>
      <c r="BJ7" s="37" t="s">
        <v>50</v>
      </c>
      <c r="BK7" s="38" t="s">
        <v>51</v>
      </c>
      <c r="BL7" s="39" t="s">
        <v>52</v>
      </c>
      <c r="BM7" s="40" t="s">
        <v>50</v>
      </c>
      <c r="BN7" s="38" t="s">
        <v>51</v>
      </c>
      <c r="BO7" s="39" t="s">
        <v>52</v>
      </c>
      <c r="BP7" s="37" t="s">
        <v>50</v>
      </c>
      <c r="BQ7" s="38" t="s">
        <v>51</v>
      </c>
      <c r="BR7" s="39" t="s">
        <v>52</v>
      </c>
      <c r="BS7" s="40" t="s">
        <v>50</v>
      </c>
      <c r="BT7" s="38" t="s">
        <v>51</v>
      </c>
      <c r="BU7" s="39" t="s">
        <v>52</v>
      </c>
      <c r="BV7" s="37" t="s">
        <v>50</v>
      </c>
      <c r="BW7" s="38" t="s">
        <v>51</v>
      </c>
      <c r="BX7" s="39" t="s">
        <v>52</v>
      </c>
      <c r="BY7" s="40" t="s">
        <v>50</v>
      </c>
      <c r="BZ7" s="38" t="s">
        <v>51</v>
      </c>
      <c r="CA7" s="39" t="s">
        <v>52</v>
      </c>
      <c r="CB7" s="37" t="s">
        <v>50</v>
      </c>
      <c r="CC7" s="38" t="s">
        <v>51</v>
      </c>
      <c r="CD7" s="39" t="s">
        <v>52</v>
      </c>
      <c r="CE7" s="37" t="s">
        <v>50</v>
      </c>
      <c r="CF7" s="38" t="s">
        <v>51</v>
      </c>
      <c r="CG7" s="39" t="s">
        <v>52</v>
      </c>
      <c r="CH7" s="37" t="s">
        <v>50</v>
      </c>
      <c r="CI7" s="38" t="s">
        <v>51</v>
      </c>
      <c r="CJ7" s="39" t="s">
        <v>52</v>
      </c>
      <c r="CK7" s="37" t="s">
        <v>50</v>
      </c>
      <c r="CL7" s="38" t="s">
        <v>51</v>
      </c>
      <c r="CM7" s="39" t="s">
        <v>52</v>
      </c>
      <c r="CN7" s="40" t="s">
        <v>50</v>
      </c>
      <c r="CO7" s="38" t="s">
        <v>51</v>
      </c>
      <c r="CP7" s="39" t="s">
        <v>52</v>
      </c>
      <c r="CQ7" s="32" t="s">
        <v>50</v>
      </c>
      <c r="CR7" s="33" t="s">
        <v>51</v>
      </c>
      <c r="CS7" s="34" t="s">
        <v>52</v>
      </c>
      <c r="CT7" s="32" t="s">
        <v>50</v>
      </c>
      <c r="CU7" s="33" t="s">
        <v>51</v>
      </c>
      <c r="CV7" s="34" t="s">
        <v>52</v>
      </c>
      <c r="CW7" s="32" t="s">
        <v>50</v>
      </c>
      <c r="CX7" s="33" t="s">
        <v>51</v>
      </c>
      <c r="CY7" s="34" t="s">
        <v>52</v>
      </c>
      <c r="CZ7" s="32" t="s">
        <v>50</v>
      </c>
      <c r="DA7" s="33" t="s">
        <v>51</v>
      </c>
      <c r="DB7" s="34" t="s">
        <v>52</v>
      </c>
      <c r="DC7" s="35" t="s">
        <v>50</v>
      </c>
      <c r="DD7" s="33" t="s">
        <v>51</v>
      </c>
      <c r="DE7" s="34" t="s">
        <v>52</v>
      </c>
      <c r="DF7" s="35"/>
      <c r="DG7" s="35"/>
      <c r="DH7" s="33"/>
      <c r="DI7" s="34"/>
      <c r="DJ7" s="62"/>
      <c r="DK7" s="10" t="s">
        <v>53</v>
      </c>
      <c r="DL7" s="10" t="s">
        <v>54</v>
      </c>
      <c r="DM7" s="10" t="s">
        <v>55</v>
      </c>
      <c r="DN7" s="10" t="s">
        <v>56</v>
      </c>
      <c r="DO7" s="10" t="s">
        <v>57</v>
      </c>
      <c r="DP7" s="10" t="s">
        <v>58</v>
      </c>
      <c r="DQ7" s="10" t="s">
        <v>59</v>
      </c>
      <c r="DR7" s="10" t="s">
        <v>60</v>
      </c>
      <c r="DS7" s="10" t="s">
        <v>61</v>
      </c>
      <c r="DT7" s="10" t="s">
        <v>62</v>
      </c>
      <c r="DU7" s="10" t="s">
        <v>63</v>
      </c>
      <c r="DV7" s="10" t="s">
        <v>64</v>
      </c>
      <c r="DW7" s="10" t="s">
        <v>65</v>
      </c>
      <c r="DX7" s="10" t="s">
        <v>66</v>
      </c>
      <c r="DY7" s="10" t="s">
        <v>67</v>
      </c>
      <c r="DZ7" s="10" t="s">
        <v>68</v>
      </c>
      <c r="EA7" s="10" t="s">
        <v>69</v>
      </c>
      <c r="EB7" s="10" t="s">
        <v>70</v>
      </c>
      <c r="EC7" s="10" t="s">
        <v>71</v>
      </c>
      <c r="ED7" s="10" t="s">
        <v>72</v>
      </c>
      <c r="EE7" s="10" t="s">
        <v>73</v>
      </c>
      <c r="EF7" s="10" t="s">
        <v>53</v>
      </c>
      <c r="EG7" s="10" t="s">
        <v>74</v>
      </c>
      <c r="EH7" s="10" t="s">
        <v>75</v>
      </c>
      <c r="EI7" s="10" t="s">
        <v>76</v>
      </c>
      <c r="EJ7" s="10" t="s">
        <v>63</v>
      </c>
      <c r="EK7" s="10" t="s">
        <v>77</v>
      </c>
      <c r="EL7" s="10" t="s">
        <v>78</v>
      </c>
      <c r="EM7" s="10" t="s">
        <v>79</v>
      </c>
      <c r="EN7" s="10" t="s">
        <v>80</v>
      </c>
      <c r="EO7" s="10" t="s">
        <v>81</v>
      </c>
      <c r="EP7" s="10" t="s">
        <v>77</v>
      </c>
      <c r="EQ7" s="10" t="s">
        <v>82</v>
      </c>
      <c r="ER7" s="10" t="s">
        <v>83</v>
      </c>
      <c r="ES7" s="10" t="s">
        <v>84</v>
      </c>
      <c r="ET7" s="10" t="s">
        <v>59</v>
      </c>
      <c r="EU7" s="10" t="s">
        <v>66</v>
      </c>
      <c r="EV7" s="10" t="s">
        <v>85</v>
      </c>
      <c r="EW7" s="10" t="s">
        <v>86</v>
      </c>
      <c r="EX7" s="10" t="s">
        <v>87</v>
      </c>
      <c r="EY7" s="10" t="s">
        <v>88</v>
      </c>
      <c r="EZ7" s="10" t="s">
        <v>89</v>
      </c>
      <c r="FA7" s="10" t="s">
        <v>90</v>
      </c>
      <c r="FB7" s="10" t="s">
        <v>91</v>
      </c>
      <c r="FC7" s="10" t="s">
        <v>92</v>
      </c>
      <c r="FD7" s="10" t="s">
        <v>93</v>
      </c>
      <c r="FE7" s="10" t="s">
        <v>94</v>
      </c>
      <c r="FF7" s="10" t="s">
        <v>95</v>
      </c>
      <c r="FG7" s="10" t="s">
        <v>71</v>
      </c>
      <c r="FH7" s="10" t="s">
        <v>65</v>
      </c>
      <c r="FI7" s="10" t="s">
        <v>79</v>
      </c>
      <c r="FJ7" s="10" t="s">
        <v>96</v>
      </c>
      <c r="FK7" s="10" t="s">
        <v>66</v>
      </c>
      <c r="FL7" s="10" t="s">
        <v>97</v>
      </c>
      <c r="FM7" s="10" t="s">
        <v>98</v>
      </c>
      <c r="FN7" s="10" t="s">
        <v>88</v>
      </c>
      <c r="FO7" s="10" t="s">
        <v>99</v>
      </c>
    </row>
    <row r="8" spans="2:171" ht="29.25" customHeight="1">
      <c r="B8" s="97" t="s">
        <v>100</v>
      </c>
      <c r="C8" s="14" t="s">
        <v>101</v>
      </c>
      <c r="D8" s="29">
        <v>1</v>
      </c>
      <c r="E8" s="42" t="s">
        <v>102</v>
      </c>
      <c r="F8" s="42" t="s">
        <v>75</v>
      </c>
      <c r="G8" s="42"/>
      <c r="H8" s="42" t="s">
        <v>102</v>
      </c>
      <c r="I8" s="42" t="s">
        <v>103</v>
      </c>
      <c r="J8" s="42"/>
      <c r="K8" s="42" t="s">
        <v>102</v>
      </c>
      <c r="L8" s="42" t="s">
        <v>104</v>
      </c>
      <c r="M8" s="42"/>
      <c r="N8" s="42" t="s">
        <v>102</v>
      </c>
      <c r="O8" s="42" t="s">
        <v>105</v>
      </c>
      <c r="P8" s="42"/>
      <c r="Q8" s="42" t="s">
        <v>102</v>
      </c>
      <c r="R8" s="42" t="s">
        <v>87</v>
      </c>
      <c r="S8" s="42"/>
      <c r="T8" s="42" t="s">
        <v>102</v>
      </c>
      <c r="U8" s="42" t="s">
        <v>84</v>
      </c>
      <c r="V8" s="42"/>
      <c r="W8" s="42" t="s">
        <v>102</v>
      </c>
      <c r="X8" s="42" t="s">
        <v>106</v>
      </c>
      <c r="Y8" s="42"/>
      <c r="Z8" s="42" t="s">
        <v>102</v>
      </c>
      <c r="AA8" s="42" t="s">
        <v>71</v>
      </c>
      <c r="AB8" s="42"/>
      <c r="AC8" s="42" t="s">
        <v>102</v>
      </c>
      <c r="AD8" s="42" t="s">
        <v>107</v>
      </c>
      <c r="AE8" s="42"/>
      <c r="AF8" s="42" t="s">
        <v>102</v>
      </c>
      <c r="AG8" s="42" t="s">
        <v>95</v>
      </c>
      <c r="AH8" s="42"/>
      <c r="AI8" s="42" t="s">
        <v>102</v>
      </c>
      <c r="AJ8" s="42" t="s">
        <v>108</v>
      </c>
      <c r="AK8" s="42"/>
      <c r="AL8" s="42" t="s">
        <v>102</v>
      </c>
      <c r="AM8" s="42" t="s">
        <v>66</v>
      </c>
      <c r="AN8" s="42"/>
      <c r="AO8" s="42" t="s">
        <v>102</v>
      </c>
      <c r="AP8" s="42" t="s">
        <v>64</v>
      </c>
      <c r="AQ8" s="42"/>
      <c r="AR8" s="42" t="s">
        <v>102</v>
      </c>
      <c r="AS8" s="42" t="s">
        <v>94</v>
      </c>
      <c r="AT8" s="42"/>
      <c r="AU8" s="42" t="s">
        <v>102</v>
      </c>
      <c r="AV8" s="42" t="s">
        <v>93</v>
      </c>
      <c r="AW8" s="42"/>
      <c r="AX8" s="42" t="s">
        <v>102</v>
      </c>
      <c r="AY8" s="42" t="s">
        <v>109</v>
      </c>
      <c r="AZ8" s="42"/>
      <c r="BA8" s="42" t="s">
        <v>102</v>
      </c>
      <c r="BB8" s="42" t="s">
        <v>83</v>
      </c>
      <c r="BC8" s="42"/>
      <c r="BD8" s="42" t="s">
        <v>102</v>
      </c>
      <c r="BE8" s="42" t="s">
        <v>70</v>
      </c>
      <c r="BF8" s="42"/>
      <c r="BG8" s="42" t="s">
        <v>102</v>
      </c>
      <c r="BH8" s="42" t="s">
        <v>72</v>
      </c>
      <c r="BI8" s="42"/>
      <c r="BJ8" s="70" t="s">
        <v>102</v>
      </c>
      <c r="BK8" s="70" t="s">
        <v>110</v>
      </c>
      <c r="BL8" s="70"/>
      <c r="BM8" s="70" t="s">
        <v>102</v>
      </c>
      <c r="BN8" s="70" t="s">
        <v>111</v>
      </c>
      <c r="BO8" s="70"/>
      <c r="BP8" s="70" t="s">
        <v>102</v>
      </c>
      <c r="BQ8" s="70" t="s">
        <v>112</v>
      </c>
      <c r="BR8" s="70"/>
      <c r="BS8" s="70" t="s">
        <v>102</v>
      </c>
      <c r="BT8" s="70" t="s">
        <v>80</v>
      </c>
      <c r="BU8" s="70"/>
      <c r="BV8" s="70" t="s">
        <v>102</v>
      </c>
      <c r="BW8" s="70" t="s">
        <v>61</v>
      </c>
      <c r="BX8" s="70"/>
      <c r="BY8" s="70" t="s">
        <v>102</v>
      </c>
      <c r="BZ8" s="70" t="s">
        <v>113</v>
      </c>
      <c r="CA8" s="70"/>
      <c r="CB8" s="70" t="s">
        <v>102</v>
      </c>
      <c r="CC8" s="70" t="s">
        <v>114</v>
      </c>
      <c r="CD8" s="70"/>
      <c r="CE8" s="70" t="s">
        <v>102</v>
      </c>
      <c r="CF8" s="70" t="s">
        <v>115</v>
      </c>
      <c r="CG8" s="70"/>
      <c r="CH8" s="42" t="s">
        <v>102</v>
      </c>
      <c r="CI8" s="42" t="s">
        <v>116</v>
      </c>
      <c r="CJ8" s="42"/>
      <c r="CK8" s="42" t="s">
        <v>102</v>
      </c>
      <c r="CL8" s="42" t="s">
        <v>117</v>
      </c>
      <c r="CM8" s="42"/>
      <c r="CN8" s="42" t="s">
        <v>102</v>
      </c>
      <c r="CO8" s="42" t="s">
        <v>118</v>
      </c>
      <c r="CP8" s="42"/>
      <c r="CQ8" s="42" t="s">
        <v>102</v>
      </c>
      <c r="CR8" s="42" t="s">
        <v>119</v>
      </c>
      <c r="CS8" s="42"/>
      <c r="CT8" s="42" t="s">
        <v>102</v>
      </c>
      <c r="CU8" s="42" t="s">
        <v>120</v>
      </c>
      <c r="CV8" s="42"/>
      <c r="CW8" s="42" t="s">
        <v>102</v>
      </c>
      <c r="CX8" s="42" t="s">
        <v>90</v>
      </c>
      <c r="CY8" s="42"/>
      <c r="CZ8" s="42" t="s">
        <v>102</v>
      </c>
      <c r="DA8" s="42" t="s">
        <v>59</v>
      </c>
      <c r="DB8" s="42"/>
      <c r="DC8" s="42" t="s">
        <v>102</v>
      </c>
      <c r="DD8" s="42" t="s">
        <v>63</v>
      </c>
      <c r="DE8" s="42"/>
      <c r="DF8" s="42" t="s">
        <v>60</v>
      </c>
      <c r="DG8" s="42"/>
      <c r="DH8" s="42"/>
      <c r="DI8" s="65"/>
      <c r="DJ8" s="63"/>
      <c r="DK8" s="5">
        <f>COUNTIF($E8:$DI8,"Lab")</f>
        <v>0</v>
      </c>
      <c r="DL8" s="5">
        <f>COUNTIF($E8:$DI8,"Lab 3")</f>
        <v>0</v>
      </c>
      <c r="DM8" s="5">
        <f>COUNTIF($E8:$DI8,"Thủy HN")</f>
        <v>0</v>
      </c>
      <c r="DN8" s="5">
        <f t="shared" ref="DN8:DN51" si="4">COUNTIF($E8:$DI8,"Bông")</f>
        <v>0</v>
      </c>
      <c r="DO8" s="5">
        <f>COUNTIF($E8:$DI8,"Hương V")</f>
        <v>0</v>
      </c>
      <c r="DP8" s="5">
        <f>COUNTIF($E8:$DI8,"Nhung V")</f>
        <v>0</v>
      </c>
      <c r="DQ8" s="5">
        <f t="shared" ref="DQ8:DQ51" si="5">COUNTIF($E8:$DI8,"Toàn")</f>
        <v>1</v>
      </c>
      <c r="DR8" s="5">
        <f t="shared" ref="DR8:DR51" si="6">COUNTIF($E8:$DI8,"Đài")</f>
        <v>1</v>
      </c>
      <c r="DS8" s="5">
        <f>COUNTIF($E8:$DI8,"Mai")</f>
        <v>1</v>
      </c>
      <c r="DT8" s="5">
        <f t="shared" ref="DT8:DT51" si="7">COUNTIF($E8:$DI8,"Tài")</f>
        <v>0</v>
      </c>
      <c r="DU8" s="5">
        <f>COUNTIF($E8:$DI8,"Hảo")</f>
        <v>1</v>
      </c>
      <c r="DV8" s="5">
        <f t="shared" ref="DV8:DV51" si="8">COUNTIF($E8:$DI8,"Nữ")</f>
        <v>1</v>
      </c>
      <c r="DW8" s="5">
        <f>COUNTIF($E8:$DI8,"Tuấn KTPL")</f>
        <v>0</v>
      </c>
      <c r="DX8" s="5">
        <f t="shared" ref="DX8:DX51" si="9">COUNTIF($E8:$DI8,"Ni Na")</f>
        <v>1</v>
      </c>
      <c r="DY8" s="5">
        <f>COUNTIF($E8:$DI8,"Trâm V")</f>
        <v>0</v>
      </c>
      <c r="DZ8" s="5">
        <f t="shared" ref="DZ8:DZ51" si="10">COUNTIF($E8:$DI8,"Hùng")</f>
        <v>0</v>
      </c>
      <c r="EA8" s="5">
        <f>COUNTIF($E8:$DI8,"Hiền V")</f>
        <v>0</v>
      </c>
      <c r="EB8" s="5">
        <f t="shared" ref="EB8:EB51" si="11">COUNTIF($E8:$DI8,"Hoàng")</f>
        <v>1</v>
      </c>
      <c r="EC8" s="5">
        <f t="shared" ref="EC8:EC51" si="12">COUNTIF($E8:$DI8,"Duyên")</f>
        <v>1</v>
      </c>
      <c r="ED8" s="5">
        <f t="shared" ref="ED8:ED51" si="13">COUNTIF($E8:$DI8,"Thương")</f>
        <v>1</v>
      </c>
      <c r="EE8" s="5">
        <f>COUNTIF($E8:$DI8,"Tuấn ICT")</f>
        <v>0</v>
      </c>
      <c r="EF8" s="5">
        <f t="shared" ref="EF8:EF51" si="14">COUNTIF($E8:$DI8,"Lab")</f>
        <v>0</v>
      </c>
      <c r="EG8" s="5">
        <f t="shared" ref="EG8:EG51" si="15">COUNTIF($E8:$DI8,"Trưởng")</f>
        <v>0</v>
      </c>
      <c r="EH8" s="5">
        <f>COUNTIF($E8:$DI8,"Linh ICT")</f>
        <v>1</v>
      </c>
      <c r="EI8" s="5">
        <f>COUNTIF($E8:$DI8,"Huy")</f>
        <v>0</v>
      </c>
      <c r="EJ8" s="5">
        <f t="shared" ref="EJ8:EJ51" si="16">COUNTIF($E8:$DI8,"Hảo")</f>
        <v>1</v>
      </c>
      <c r="EK8" s="5">
        <f t="shared" ref="EK8:EK51" si="17">COUNTIF($E8:$DI8,"Tuấn TD")</f>
        <v>0</v>
      </c>
      <c r="EL8" s="5">
        <f>COUNTIF($E8:$DI8,"Hồng")</f>
        <v>0</v>
      </c>
      <c r="EM8" s="5">
        <f t="shared" ref="EM8:EM51" si="18">COUNTIF($E8:$DI8,"Lương")</f>
        <v>0</v>
      </c>
      <c r="EN8" s="5">
        <f t="shared" ref="EN8:EN51" si="19">COUNTIF($E8:$DI8,"Trà")</f>
        <v>1</v>
      </c>
      <c r="EO8" s="5">
        <f t="shared" ref="EO8:EO51" si="20">COUNTIF($E8:$DI8,"Linh TD")</f>
        <v>0</v>
      </c>
      <c r="EP8" s="5">
        <f t="shared" ref="EP8:EP51" si="21">COUNTIF($E8:$DI8,"Tuấn TD")</f>
        <v>0</v>
      </c>
      <c r="EQ8" s="5">
        <f>COUNTIF($E8:$DI8,"Trinh")</f>
        <v>0</v>
      </c>
      <c r="ER8" s="5">
        <f t="shared" ref="ER8:ER51" si="22">COUNTIF($E8:$DI8,"Danh")</f>
        <v>1</v>
      </c>
      <c r="ES8" s="5">
        <f t="shared" ref="ES8:ES51" si="23">COUNTIF($E8:$DI8,"Thiên Ân")</f>
        <v>1</v>
      </c>
      <c r="ET8" s="5">
        <f t="shared" ref="ET8:ET51" si="24">COUNTIF($E8:$DI8,"Toàn")</f>
        <v>1</v>
      </c>
      <c r="EU8" s="5">
        <f>COUNTIF($E8:$DI8,"Ni Na")</f>
        <v>1</v>
      </c>
      <c r="EV8" s="5">
        <f>COUNTIF($E8:$DI8,"Tâm V")</f>
        <v>0</v>
      </c>
      <c r="EW8" s="5">
        <f>COUNTIF($E8:$DI8,"Hương V")</f>
        <v>0</v>
      </c>
      <c r="EX8" s="5">
        <f t="shared" ref="EX8:EX51" si="25">COUNTIF($E8:$DI8,"Hằng")</f>
        <v>1</v>
      </c>
      <c r="EY8" s="5">
        <f t="shared" ref="EY8:EY51" si="26">COUNTIF($E8:$DI8,"Phương MT")</f>
        <v>0</v>
      </c>
      <c r="EZ8" s="5">
        <f t="shared" ref="EZ8:EZ51" si="27">COUNTIF($E8:$DI8,"Mi")</f>
        <v>0</v>
      </c>
      <c r="FA8" s="5">
        <f t="shared" ref="FA8:FA51" si="28">COUNTIF($E8:$DI8,"Lài")</f>
        <v>1</v>
      </c>
      <c r="FB8" s="5">
        <f t="shared" ref="FB8:FB51" si="29">COUNTIF($E8:$DI8,"Huế")</f>
        <v>0</v>
      </c>
      <c r="FC8" s="5">
        <f t="shared" ref="FC8:FC51" si="30">COUNTIF($E8:$DI8,"Tiến")</f>
        <v>0</v>
      </c>
      <c r="FD8" s="5">
        <f t="shared" ref="FD8:FD51" si="31">COUNTIF($E8:$DI8,"Sương")</f>
        <v>1</v>
      </c>
      <c r="FE8" s="5">
        <f t="shared" ref="FE8:FE51" si="32">COUNTIF($E8:$DI8,"Ngọc")</f>
        <v>1</v>
      </c>
      <c r="FF8" s="5">
        <f t="shared" ref="FF8:FF51" si="33">COUNTIF($E8:$DI8,"Yến")</f>
        <v>1</v>
      </c>
      <c r="FG8" s="5">
        <f t="shared" ref="FG8:FG51" si="34">COUNTIF($E8:$DI8,"Duyên")</f>
        <v>1</v>
      </c>
      <c r="FH8" s="5">
        <f t="shared" ref="FH8:FH51" si="35">COUNTIF($E8:$DI8,"Tuấn KTPL")</f>
        <v>0</v>
      </c>
      <c r="FI8" s="5">
        <f t="shared" ref="FI8:FI51" si="36">COUNTIF($E8:$DI8,"Lương")</f>
        <v>0</v>
      </c>
      <c r="FJ8" s="5">
        <f>COUNTIF($E8:$DI8,"Bình")</f>
        <v>0</v>
      </c>
      <c r="FK8" s="5">
        <f t="shared" ref="FK8:FK51" si="37">COUNTIF($E8:$DI8,"Ni Na")</f>
        <v>1</v>
      </c>
      <c r="FL8" s="5">
        <f t="shared" ref="FL8:FL51" si="38">COUNTIF($E8:$DI8,"Vân Anh")</f>
        <v>0</v>
      </c>
      <c r="FM8" s="5">
        <f>COUNTIF($E8:$DI8,"Nhung V")</f>
        <v>0</v>
      </c>
      <c r="FN8" s="5">
        <f t="shared" ref="FN8:FN51" si="39">COUNTIF($E8:$DI8,"Phương MT")</f>
        <v>0</v>
      </c>
      <c r="FO8" s="5">
        <f t="shared" ref="FO8:FO51" si="40">COUNTIF($E8:$DI8,"Châu")</f>
        <v>0</v>
      </c>
    </row>
    <row r="9" spans="2:171" ht="25.5" customHeight="1">
      <c r="B9" s="95"/>
      <c r="C9" s="12" t="s">
        <v>121</v>
      </c>
      <c r="D9" s="30">
        <v>2</v>
      </c>
      <c r="E9" s="42" t="s">
        <v>122</v>
      </c>
      <c r="F9" s="42" t="s">
        <v>95</v>
      </c>
      <c r="G9" s="42"/>
      <c r="H9" s="42" t="s">
        <v>123</v>
      </c>
      <c r="I9" s="42" t="s">
        <v>88</v>
      </c>
      <c r="J9" s="42"/>
      <c r="K9" s="42" t="s">
        <v>124</v>
      </c>
      <c r="L9" s="42" t="s">
        <v>104</v>
      </c>
      <c r="M9" s="42"/>
      <c r="N9" s="42" t="s">
        <v>124</v>
      </c>
      <c r="O9" s="42" t="s">
        <v>105</v>
      </c>
      <c r="P9" s="42"/>
      <c r="Q9" s="42" t="s">
        <v>124</v>
      </c>
      <c r="R9" s="42" t="s">
        <v>87</v>
      </c>
      <c r="S9" s="42"/>
      <c r="T9" s="42" t="s">
        <v>125</v>
      </c>
      <c r="U9" s="42" t="s">
        <v>81</v>
      </c>
      <c r="V9" s="42"/>
      <c r="W9" s="42" t="s">
        <v>126</v>
      </c>
      <c r="X9" s="42" t="s">
        <v>106</v>
      </c>
      <c r="Y9" s="42"/>
      <c r="Z9" s="42" t="s">
        <v>127</v>
      </c>
      <c r="AA9" s="42" t="s">
        <v>128</v>
      </c>
      <c r="AB9" s="42"/>
      <c r="AC9" s="42" t="s">
        <v>124</v>
      </c>
      <c r="AD9" s="42" t="s">
        <v>91</v>
      </c>
      <c r="AE9" s="42"/>
      <c r="AF9" s="42" t="s">
        <v>126</v>
      </c>
      <c r="AG9" s="42" t="s">
        <v>129</v>
      </c>
      <c r="AH9" s="42"/>
      <c r="AI9" s="42" t="s">
        <v>126</v>
      </c>
      <c r="AJ9" s="42" t="s">
        <v>108</v>
      </c>
      <c r="AK9" s="42"/>
      <c r="AL9" s="42" t="s">
        <v>126</v>
      </c>
      <c r="AM9" s="42" t="s">
        <v>66</v>
      </c>
      <c r="AN9" s="42"/>
      <c r="AO9" s="42" t="s">
        <v>126</v>
      </c>
      <c r="AP9" s="42" t="s">
        <v>84</v>
      </c>
      <c r="AQ9" s="42"/>
      <c r="AR9" s="42" t="s">
        <v>122</v>
      </c>
      <c r="AS9" s="42" t="s">
        <v>94</v>
      </c>
      <c r="AT9" s="42"/>
      <c r="AU9" s="51" t="s">
        <v>130</v>
      </c>
      <c r="AV9" s="51" t="s">
        <v>107</v>
      </c>
      <c r="AW9" s="51"/>
      <c r="AX9" s="51" t="s">
        <v>130</v>
      </c>
      <c r="AY9" s="51" t="s">
        <v>113</v>
      </c>
      <c r="AZ9" s="51"/>
      <c r="BA9" s="42" t="s">
        <v>126</v>
      </c>
      <c r="BB9" s="42" t="s">
        <v>83</v>
      </c>
      <c r="BC9" s="42"/>
      <c r="BD9" s="42" t="s">
        <v>131</v>
      </c>
      <c r="BE9" s="42" t="s">
        <v>70</v>
      </c>
      <c r="BF9" s="42"/>
      <c r="BG9" s="42" t="s">
        <v>132</v>
      </c>
      <c r="BH9" s="42" t="s">
        <v>72</v>
      </c>
      <c r="BI9" s="42"/>
      <c r="BJ9" s="73" t="s">
        <v>130</v>
      </c>
      <c r="BK9" s="73" t="s">
        <v>133</v>
      </c>
      <c r="BL9" s="73"/>
      <c r="BM9" s="70" t="s">
        <v>130</v>
      </c>
      <c r="BN9" s="70" t="s">
        <v>111</v>
      </c>
      <c r="BO9" s="70"/>
      <c r="BP9" s="70" t="s">
        <v>122</v>
      </c>
      <c r="BQ9" s="70" t="s">
        <v>93</v>
      </c>
      <c r="BR9" s="70"/>
      <c r="BS9" s="70" t="s">
        <v>122</v>
      </c>
      <c r="BT9" s="70" t="s">
        <v>64</v>
      </c>
      <c r="BU9" s="70"/>
      <c r="BV9" s="70" t="s">
        <v>134</v>
      </c>
      <c r="BW9" s="70" t="s">
        <v>135</v>
      </c>
      <c r="BX9" s="70" t="s">
        <v>136</v>
      </c>
      <c r="BY9" s="70" t="s">
        <v>124</v>
      </c>
      <c r="BZ9" s="70" t="s">
        <v>67</v>
      </c>
      <c r="CA9" s="70"/>
      <c r="CB9" s="70" t="s">
        <v>137</v>
      </c>
      <c r="CC9" s="70" t="s">
        <v>138</v>
      </c>
      <c r="CD9" s="70" t="s">
        <v>139</v>
      </c>
      <c r="CE9" s="70" t="s">
        <v>140</v>
      </c>
      <c r="CF9" s="70" t="s">
        <v>109</v>
      </c>
      <c r="CG9" s="70"/>
      <c r="CH9" s="72" t="s">
        <v>141</v>
      </c>
      <c r="CI9" s="72" t="s">
        <v>116</v>
      </c>
      <c r="CJ9" s="72"/>
      <c r="CK9" s="42" t="s">
        <v>142</v>
      </c>
      <c r="CL9" s="42" t="s">
        <v>77</v>
      </c>
      <c r="CM9" s="42"/>
      <c r="CN9" s="42" t="s">
        <v>143</v>
      </c>
      <c r="CO9" s="42" t="s">
        <v>76</v>
      </c>
      <c r="CP9" s="42" t="s">
        <v>54</v>
      </c>
      <c r="CQ9" s="53" t="s">
        <v>130</v>
      </c>
      <c r="CR9" s="53" t="s">
        <v>119</v>
      </c>
      <c r="CS9" s="53"/>
      <c r="CT9" s="42" t="s">
        <v>122</v>
      </c>
      <c r="CU9" s="42" t="s">
        <v>99</v>
      </c>
      <c r="CV9" s="42"/>
      <c r="CW9" s="42" t="s">
        <v>126</v>
      </c>
      <c r="CX9" s="42" t="s">
        <v>59</v>
      </c>
      <c r="CY9" s="42"/>
      <c r="CZ9" s="42" t="s">
        <v>144</v>
      </c>
      <c r="DA9" s="42" t="s">
        <v>90</v>
      </c>
      <c r="DB9" s="42"/>
      <c r="DC9" s="50" t="s">
        <v>144</v>
      </c>
      <c r="DD9" s="50" t="s">
        <v>58</v>
      </c>
      <c r="DE9" s="50"/>
      <c r="DF9" s="42" t="s">
        <v>60</v>
      </c>
      <c r="DG9" s="42"/>
      <c r="DH9" s="42"/>
      <c r="DI9" s="65"/>
      <c r="DJ9" s="63"/>
      <c r="DK9" s="5">
        <f t="shared" ref="DK9:DK62" si="41">COUNTIF($E9:$DI9,"Lab")</f>
        <v>0</v>
      </c>
      <c r="DL9" s="5">
        <f t="shared" ref="DL9:DL73" si="42">COUNTIF($E9:$DI9,"Lab 3")</f>
        <v>1</v>
      </c>
      <c r="DM9" s="5">
        <f t="shared" ref="DM9:DM51" si="43">COUNTIF($E9:$DI9,"Thủy HN")</f>
        <v>0</v>
      </c>
      <c r="DN9" s="5">
        <f t="shared" si="4"/>
        <v>0</v>
      </c>
      <c r="DO9" s="5">
        <f t="shared" ref="DO9:DO51" si="44">COUNTIF($E9:$DI9,"Hương V")</f>
        <v>0</v>
      </c>
      <c r="DP9" s="5">
        <f t="shared" ref="DP9:DP51" si="45">COUNTIF($E9:$DI9,"Nhung V")</f>
        <v>1</v>
      </c>
      <c r="DQ9" s="5">
        <f t="shared" si="5"/>
        <v>1</v>
      </c>
      <c r="DR9" s="5">
        <f t="shared" si="6"/>
        <v>1</v>
      </c>
      <c r="DS9" s="5">
        <f t="shared" ref="DS9:DS51" si="46">COUNTIF($E9:$DI9,"Mai")</f>
        <v>0</v>
      </c>
      <c r="DT9" s="5">
        <f t="shared" si="7"/>
        <v>0</v>
      </c>
      <c r="DU9" s="5">
        <f t="shared" ref="DU9:DU51" si="47">COUNTIF($E9:$DI9,"Hảo")</f>
        <v>0</v>
      </c>
      <c r="DV9" s="5">
        <f t="shared" si="8"/>
        <v>1</v>
      </c>
      <c r="DW9" s="5">
        <f t="shared" ref="DW9:DW51" si="48">COUNTIF($E9:$DI9,"Tuấn KTPL")</f>
        <v>0</v>
      </c>
      <c r="DX9" s="5">
        <f t="shared" si="9"/>
        <v>1</v>
      </c>
      <c r="DY9" s="5">
        <f t="shared" ref="DY9:DY51" si="49">COUNTIF($E9:$DI9,"Trâm V")</f>
        <v>1</v>
      </c>
      <c r="DZ9" s="5">
        <f t="shared" si="10"/>
        <v>0</v>
      </c>
      <c r="EA9" s="5">
        <f t="shared" ref="EA9:EA51" si="50">COUNTIF($E9:$DI9,"Hiền V")</f>
        <v>0</v>
      </c>
      <c r="EB9" s="5">
        <f t="shared" si="11"/>
        <v>1</v>
      </c>
      <c r="EC9" s="5">
        <f t="shared" si="12"/>
        <v>0</v>
      </c>
      <c r="ED9" s="5">
        <f t="shared" si="13"/>
        <v>1</v>
      </c>
      <c r="EE9" s="5">
        <f t="shared" ref="EE9:EE51" si="51">COUNTIF($E9:$DI9,"Tuấn ICT")</f>
        <v>0</v>
      </c>
      <c r="EF9" s="5">
        <f t="shared" si="14"/>
        <v>0</v>
      </c>
      <c r="EG9" s="5">
        <f t="shared" si="15"/>
        <v>0</v>
      </c>
      <c r="EH9" s="5">
        <f t="shared" ref="EH9:EH51" si="52">COUNTIF($E9:$DI9,"Linh ICT")</f>
        <v>0</v>
      </c>
      <c r="EI9" s="5">
        <f t="shared" ref="EI9:EI51" si="53">COUNTIF($E9:$DI9,"Huy")</f>
        <v>1</v>
      </c>
      <c r="EJ9" s="5">
        <f t="shared" si="16"/>
        <v>0</v>
      </c>
      <c r="EK9" s="5">
        <f t="shared" si="17"/>
        <v>1</v>
      </c>
      <c r="EL9" s="5">
        <f t="shared" ref="EL9:EL51" si="54">COUNTIF($E9:$DI9,"Hồng")</f>
        <v>0</v>
      </c>
      <c r="EM9" s="5">
        <f t="shared" si="18"/>
        <v>0</v>
      </c>
      <c r="EN9" s="5">
        <f t="shared" si="19"/>
        <v>0</v>
      </c>
      <c r="EO9" s="5">
        <f t="shared" si="20"/>
        <v>1</v>
      </c>
      <c r="EP9" s="5">
        <f t="shared" si="21"/>
        <v>1</v>
      </c>
      <c r="EQ9" s="5">
        <f t="shared" ref="EQ9:EQ51" si="55">COUNTIF($E9:$DI9,"Trinh")</f>
        <v>1</v>
      </c>
      <c r="ER9" s="5">
        <f t="shared" si="22"/>
        <v>1</v>
      </c>
      <c r="ES9" s="5">
        <f t="shared" si="23"/>
        <v>1</v>
      </c>
      <c r="ET9" s="5">
        <f t="shared" si="24"/>
        <v>1</v>
      </c>
      <c r="EU9" s="5">
        <f t="shared" ref="EU9:EU51" si="56">COUNTIF($E9:$DI9,"Ni Na")</f>
        <v>1</v>
      </c>
      <c r="EV9" s="5">
        <f t="shared" ref="EV9:EV51" si="57">COUNTIF($E9:$DI9,"Tâm V")</f>
        <v>0</v>
      </c>
      <c r="EW9" s="5">
        <f t="shared" ref="EW9:EW51" si="58">COUNTIF($E9:$DI9,"Hương V")</f>
        <v>0</v>
      </c>
      <c r="EX9" s="5">
        <f t="shared" si="25"/>
        <v>1</v>
      </c>
      <c r="EY9" s="5">
        <f t="shared" si="26"/>
        <v>1</v>
      </c>
      <c r="EZ9" s="5">
        <f t="shared" si="27"/>
        <v>0</v>
      </c>
      <c r="FA9" s="5">
        <f t="shared" si="28"/>
        <v>1</v>
      </c>
      <c r="FB9" s="5">
        <f t="shared" si="29"/>
        <v>1</v>
      </c>
      <c r="FC9" s="5">
        <f t="shared" si="30"/>
        <v>0</v>
      </c>
      <c r="FD9" s="5">
        <f t="shared" si="31"/>
        <v>1</v>
      </c>
      <c r="FE9" s="5">
        <f t="shared" si="32"/>
        <v>1</v>
      </c>
      <c r="FF9" s="5">
        <f t="shared" si="33"/>
        <v>1</v>
      </c>
      <c r="FG9" s="5">
        <f t="shared" si="34"/>
        <v>0</v>
      </c>
      <c r="FH9" s="5">
        <f t="shared" si="35"/>
        <v>0</v>
      </c>
      <c r="FI9" s="5">
        <f t="shared" si="36"/>
        <v>0</v>
      </c>
      <c r="FJ9" s="5">
        <f t="shared" ref="FJ9:FJ51" si="59">COUNTIF($E9:$DI9,"Bình")</f>
        <v>0</v>
      </c>
      <c r="FK9" s="5">
        <f t="shared" si="37"/>
        <v>1</v>
      </c>
      <c r="FL9" s="5">
        <f t="shared" si="38"/>
        <v>0</v>
      </c>
      <c r="FM9" s="5">
        <f t="shared" ref="FM9:FM51" si="60">COUNTIF($E9:$DI9,"Nhung V")</f>
        <v>1</v>
      </c>
      <c r="FN9" s="5">
        <f t="shared" si="39"/>
        <v>1</v>
      </c>
      <c r="FO9" s="5">
        <f t="shared" si="40"/>
        <v>1</v>
      </c>
    </row>
    <row r="10" spans="2:171" ht="25.5" customHeight="1">
      <c r="B10" s="95"/>
      <c r="C10" s="12" t="s">
        <v>145</v>
      </c>
      <c r="D10" s="30">
        <v>3</v>
      </c>
      <c r="E10" s="51" t="s">
        <v>130</v>
      </c>
      <c r="F10" s="51" t="s">
        <v>146</v>
      </c>
      <c r="G10" s="51"/>
      <c r="H10" s="51" t="s">
        <v>130</v>
      </c>
      <c r="I10" s="51" t="s">
        <v>147</v>
      </c>
      <c r="J10" s="51"/>
      <c r="K10" s="51" t="s">
        <v>137</v>
      </c>
      <c r="L10" s="51" t="s">
        <v>139</v>
      </c>
      <c r="M10" s="51"/>
      <c r="N10" s="42" t="s">
        <v>143</v>
      </c>
      <c r="O10" s="42" t="s">
        <v>73</v>
      </c>
      <c r="P10" s="42" t="s">
        <v>53</v>
      </c>
      <c r="Q10" s="42" t="s">
        <v>123</v>
      </c>
      <c r="R10" s="42" t="s">
        <v>88</v>
      </c>
      <c r="S10" s="42"/>
      <c r="T10" s="42" t="s">
        <v>125</v>
      </c>
      <c r="U10" s="42" t="s">
        <v>81</v>
      </c>
      <c r="V10" s="42"/>
      <c r="W10" s="42" t="s">
        <v>132</v>
      </c>
      <c r="X10" s="42" t="s">
        <v>72</v>
      </c>
      <c r="Y10" s="42"/>
      <c r="Z10" s="42" t="s">
        <v>127</v>
      </c>
      <c r="AA10" s="42" t="s">
        <v>128</v>
      </c>
      <c r="AB10" s="42"/>
      <c r="AC10" s="42" t="s">
        <v>126</v>
      </c>
      <c r="AD10" s="42" t="s">
        <v>66</v>
      </c>
      <c r="AE10" s="42"/>
      <c r="AF10" s="42" t="s">
        <v>126</v>
      </c>
      <c r="AG10" s="42" t="s">
        <v>129</v>
      </c>
      <c r="AH10" s="42"/>
      <c r="AI10" s="51" t="s">
        <v>130</v>
      </c>
      <c r="AJ10" s="51" t="s">
        <v>116</v>
      </c>
      <c r="AK10" s="51"/>
      <c r="AL10" s="51" t="s">
        <v>130</v>
      </c>
      <c r="AM10" s="51" t="s">
        <v>103</v>
      </c>
      <c r="AN10" s="51"/>
      <c r="AO10" s="51" t="s">
        <v>148</v>
      </c>
      <c r="AP10" s="51" t="s">
        <v>149</v>
      </c>
      <c r="AQ10" s="51"/>
      <c r="AR10" s="51" t="s">
        <v>130</v>
      </c>
      <c r="AS10" s="51" t="s">
        <v>111</v>
      </c>
      <c r="AT10" s="51"/>
      <c r="AU10" s="42" t="s">
        <v>124</v>
      </c>
      <c r="AV10" s="42" t="s">
        <v>97</v>
      </c>
      <c r="AW10" s="42"/>
      <c r="AX10" s="42" t="s">
        <v>126</v>
      </c>
      <c r="AY10" s="42" t="s">
        <v>106</v>
      </c>
      <c r="AZ10" s="42"/>
      <c r="BA10" s="42" t="s">
        <v>126</v>
      </c>
      <c r="BB10" s="42" t="s">
        <v>83</v>
      </c>
      <c r="BC10" s="42"/>
      <c r="BD10" s="51" t="s">
        <v>130</v>
      </c>
      <c r="BE10" s="51" t="s">
        <v>118</v>
      </c>
      <c r="BF10" s="51"/>
      <c r="BG10" s="51" t="s">
        <v>141</v>
      </c>
      <c r="BH10" s="51" t="s">
        <v>150</v>
      </c>
      <c r="BI10" s="51"/>
      <c r="BJ10" s="70" t="s">
        <v>130</v>
      </c>
      <c r="BK10" s="70" t="s">
        <v>133</v>
      </c>
      <c r="BL10" s="70" t="s">
        <v>110</v>
      </c>
      <c r="BM10" s="70" t="s">
        <v>126</v>
      </c>
      <c r="BN10" s="70" t="s">
        <v>84</v>
      </c>
      <c r="BO10" s="70"/>
      <c r="BP10" s="70" t="s">
        <v>122</v>
      </c>
      <c r="BQ10" s="70" t="s">
        <v>93</v>
      </c>
      <c r="BR10" s="70"/>
      <c r="BS10" s="70" t="s">
        <v>127</v>
      </c>
      <c r="BT10" s="70" t="s">
        <v>151</v>
      </c>
      <c r="BU10" s="70"/>
      <c r="BV10" s="70" t="s">
        <v>134</v>
      </c>
      <c r="BW10" s="70" t="s">
        <v>135</v>
      </c>
      <c r="BX10" s="70" t="s">
        <v>136</v>
      </c>
      <c r="BY10" s="70" t="s">
        <v>130</v>
      </c>
      <c r="BZ10" s="70" t="s">
        <v>113</v>
      </c>
      <c r="CA10" s="70"/>
      <c r="CB10" s="70" t="s">
        <v>122</v>
      </c>
      <c r="CC10" s="70" t="s">
        <v>64</v>
      </c>
      <c r="CD10" s="70"/>
      <c r="CE10" s="70" t="s">
        <v>130</v>
      </c>
      <c r="CF10" s="70" t="s">
        <v>115</v>
      </c>
      <c r="CG10" s="70"/>
      <c r="CH10" s="42" t="s">
        <v>143</v>
      </c>
      <c r="CI10" s="42" t="s">
        <v>76</v>
      </c>
      <c r="CJ10" s="42" t="s">
        <v>54</v>
      </c>
      <c r="CK10" s="42" t="s">
        <v>152</v>
      </c>
      <c r="CL10" s="42" t="s">
        <v>153</v>
      </c>
      <c r="CM10" s="42" t="s">
        <v>138</v>
      </c>
      <c r="CN10" s="42" t="s">
        <v>125</v>
      </c>
      <c r="CO10" s="42" t="s">
        <v>77</v>
      </c>
      <c r="CP10" s="42"/>
      <c r="CQ10" s="53" t="s">
        <v>130</v>
      </c>
      <c r="CR10" s="53" t="s">
        <v>119</v>
      </c>
      <c r="CS10" s="53"/>
      <c r="CT10" s="53" t="s">
        <v>130</v>
      </c>
      <c r="CU10" s="53" t="s">
        <v>120</v>
      </c>
      <c r="CV10" s="53"/>
      <c r="CW10" s="42" t="s">
        <v>126</v>
      </c>
      <c r="CX10" s="42" t="s">
        <v>59</v>
      </c>
      <c r="CY10" s="42"/>
      <c r="CZ10" s="42" t="s">
        <v>144</v>
      </c>
      <c r="DA10" s="42" t="s">
        <v>90</v>
      </c>
      <c r="DB10" s="42"/>
      <c r="DC10" s="50" t="s">
        <v>144</v>
      </c>
      <c r="DD10" s="50" t="s">
        <v>58</v>
      </c>
      <c r="DE10" s="50"/>
      <c r="DF10" s="42" t="s">
        <v>60</v>
      </c>
      <c r="DG10" s="42"/>
      <c r="DH10" s="42"/>
      <c r="DI10" s="65"/>
      <c r="DJ10" s="63"/>
      <c r="DK10" s="5">
        <f t="shared" si="41"/>
        <v>1</v>
      </c>
      <c r="DL10" s="5">
        <f t="shared" si="42"/>
        <v>1</v>
      </c>
      <c r="DM10" s="5">
        <f t="shared" si="43"/>
        <v>0</v>
      </c>
      <c r="DN10" s="5">
        <f t="shared" si="4"/>
        <v>0</v>
      </c>
      <c r="DO10" s="5">
        <f t="shared" si="44"/>
        <v>0</v>
      </c>
      <c r="DP10" s="5">
        <f t="shared" si="45"/>
        <v>1</v>
      </c>
      <c r="DQ10" s="5">
        <f t="shared" si="5"/>
        <v>1</v>
      </c>
      <c r="DR10" s="5">
        <f t="shared" si="6"/>
        <v>1</v>
      </c>
      <c r="DS10" s="5">
        <f t="shared" si="46"/>
        <v>0</v>
      </c>
      <c r="DT10" s="5">
        <f t="shared" si="7"/>
        <v>0</v>
      </c>
      <c r="DU10" s="5">
        <f t="shared" si="47"/>
        <v>0</v>
      </c>
      <c r="DV10" s="5">
        <f t="shared" si="8"/>
        <v>1</v>
      </c>
      <c r="DW10" s="5">
        <f t="shared" si="48"/>
        <v>0</v>
      </c>
      <c r="DX10" s="5">
        <f t="shared" si="9"/>
        <v>1</v>
      </c>
      <c r="DY10" s="5">
        <f t="shared" si="49"/>
        <v>0</v>
      </c>
      <c r="DZ10" s="5">
        <f t="shared" si="10"/>
        <v>0</v>
      </c>
      <c r="EA10" s="5">
        <f t="shared" si="50"/>
        <v>0</v>
      </c>
      <c r="EB10" s="5">
        <f t="shared" si="11"/>
        <v>0</v>
      </c>
      <c r="EC10" s="5">
        <f t="shared" si="12"/>
        <v>0</v>
      </c>
      <c r="ED10" s="5">
        <f t="shared" si="13"/>
        <v>1</v>
      </c>
      <c r="EE10" s="5">
        <f t="shared" si="51"/>
        <v>1</v>
      </c>
      <c r="EF10" s="5">
        <f t="shared" si="14"/>
        <v>1</v>
      </c>
      <c r="EG10" s="5">
        <f t="shared" si="15"/>
        <v>0</v>
      </c>
      <c r="EH10" s="5">
        <f t="shared" si="52"/>
        <v>0</v>
      </c>
      <c r="EI10" s="5">
        <f t="shared" si="53"/>
        <v>1</v>
      </c>
      <c r="EJ10" s="5">
        <f t="shared" si="16"/>
        <v>0</v>
      </c>
      <c r="EK10" s="5">
        <f t="shared" si="17"/>
        <v>1</v>
      </c>
      <c r="EL10" s="5">
        <f t="shared" si="54"/>
        <v>0</v>
      </c>
      <c r="EM10" s="5">
        <f t="shared" si="18"/>
        <v>0</v>
      </c>
      <c r="EN10" s="5">
        <f t="shared" si="19"/>
        <v>0</v>
      </c>
      <c r="EO10" s="5">
        <f t="shared" si="20"/>
        <v>1</v>
      </c>
      <c r="EP10" s="5">
        <f t="shared" si="21"/>
        <v>1</v>
      </c>
      <c r="EQ10" s="5">
        <f t="shared" si="55"/>
        <v>1</v>
      </c>
      <c r="ER10" s="5">
        <f t="shared" si="22"/>
        <v>1</v>
      </c>
      <c r="ES10" s="5">
        <f t="shared" si="23"/>
        <v>1</v>
      </c>
      <c r="ET10" s="5">
        <f t="shared" si="24"/>
        <v>1</v>
      </c>
      <c r="EU10" s="5">
        <f t="shared" si="56"/>
        <v>1</v>
      </c>
      <c r="EV10" s="5">
        <f t="shared" si="57"/>
        <v>0</v>
      </c>
      <c r="EW10" s="5">
        <f t="shared" si="58"/>
        <v>0</v>
      </c>
      <c r="EX10" s="5">
        <f t="shared" si="25"/>
        <v>0</v>
      </c>
      <c r="EY10" s="5">
        <f t="shared" si="26"/>
        <v>1</v>
      </c>
      <c r="EZ10" s="5">
        <f t="shared" si="27"/>
        <v>0</v>
      </c>
      <c r="FA10" s="5">
        <f t="shared" si="28"/>
        <v>1</v>
      </c>
      <c r="FB10" s="5">
        <f t="shared" si="29"/>
        <v>0</v>
      </c>
      <c r="FC10" s="5">
        <f t="shared" si="30"/>
        <v>0</v>
      </c>
      <c r="FD10" s="5">
        <f t="shared" si="31"/>
        <v>1</v>
      </c>
      <c r="FE10" s="5">
        <f t="shared" si="32"/>
        <v>0</v>
      </c>
      <c r="FF10" s="5">
        <f t="shared" si="33"/>
        <v>0</v>
      </c>
      <c r="FG10" s="5">
        <f t="shared" si="34"/>
        <v>0</v>
      </c>
      <c r="FH10" s="5">
        <f t="shared" si="35"/>
        <v>0</v>
      </c>
      <c r="FI10" s="5">
        <f t="shared" si="36"/>
        <v>0</v>
      </c>
      <c r="FJ10" s="5">
        <f t="shared" si="59"/>
        <v>1</v>
      </c>
      <c r="FK10" s="5">
        <f t="shared" si="37"/>
        <v>1</v>
      </c>
      <c r="FL10" s="5">
        <f t="shared" si="38"/>
        <v>1</v>
      </c>
      <c r="FM10" s="5">
        <f t="shared" si="60"/>
        <v>1</v>
      </c>
      <c r="FN10" s="5">
        <f t="shared" si="39"/>
        <v>1</v>
      </c>
      <c r="FO10" s="5">
        <f t="shared" si="40"/>
        <v>0</v>
      </c>
    </row>
    <row r="11" spans="2:171" ht="25.5" customHeight="1">
      <c r="B11" s="95"/>
      <c r="C11" s="12" t="s">
        <v>154</v>
      </c>
      <c r="D11" s="30">
        <v>4</v>
      </c>
      <c r="E11" s="51" t="s">
        <v>130</v>
      </c>
      <c r="F11" s="51" t="s">
        <v>146</v>
      </c>
      <c r="G11" s="51"/>
      <c r="H11" s="51" t="s">
        <v>130</v>
      </c>
      <c r="I11" s="51" t="s">
        <v>147</v>
      </c>
      <c r="J11" s="51"/>
      <c r="K11" s="51" t="s">
        <v>137</v>
      </c>
      <c r="L11" s="51" t="s">
        <v>139</v>
      </c>
      <c r="M11" s="51"/>
      <c r="N11" s="42" t="s">
        <v>143</v>
      </c>
      <c r="O11" s="42" t="s">
        <v>73</v>
      </c>
      <c r="P11" s="42" t="s">
        <v>53</v>
      </c>
      <c r="Q11" s="42" t="s">
        <v>124</v>
      </c>
      <c r="R11" s="42" t="s">
        <v>87</v>
      </c>
      <c r="S11" s="42"/>
      <c r="T11" s="42" t="s">
        <v>123</v>
      </c>
      <c r="U11" s="42" t="s">
        <v>88</v>
      </c>
      <c r="V11" s="42"/>
      <c r="W11" s="42" t="s">
        <v>122</v>
      </c>
      <c r="X11" s="42" t="s">
        <v>93</v>
      </c>
      <c r="Y11" s="42"/>
      <c r="Z11" s="42" t="s">
        <v>126</v>
      </c>
      <c r="AA11" s="42" t="s">
        <v>108</v>
      </c>
      <c r="AB11" s="42"/>
      <c r="AC11" s="42" t="s">
        <v>126</v>
      </c>
      <c r="AD11" s="42" t="s">
        <v>66</v>
      </c>
      <c r="AE11" s="42"/>
      <c r="AF11" s="42" t="s">
        <v>124</v>
      </c>
      <c r="AG11" s="42" t="s">
        <v>91</v>
      </c>
      <c r="AH11" s="42"/>
      <c r="AI11" s="51" t="s">
        <v>130</v>
      </c>
      <c r="AJ11" s="51" t="s">
        <v>116</v>
      </c>
      <c r="AK11" s="51"/>
      <c r="AL11" s="51" t="s">
        <v>130</v>
      </c>
      <c r="AM11" s="51" t="s">
        <v>103</v>
      </c>
      <c r="AN11" s="51"/>
      <c r="AO11" s="51" t="s">
        <v>148</v>
      </c>
      <c r="AP11" s="51" t="s">
        <v>149</v>
      </c>
      <c r="AQ11" s="51"/>
      <c r="AR11" s="51" t="s">
        <v>130</v>
      </c>
      <c r="AS11" s="51" t="s">
        <v>111</v>
      </c>
      <c r="AT11" s="51"/>
      <c r="AU11" s="42" t="s">
        <v>126</v>
      </c>
      <c r="AV11" s="42" t="s">
        <v>83</v>
      </c>
      <c r="AW11" s="42"/>
      <c r="AX11" s="42" t="s">
        <v>126</v>
      </c>
      <c r="AY11" s="42" t="s">
        <v>106</v>
      </c>
      <c r="AZ11" s="42"/>
      <c r="BA11" s="42" t="s">
        <v>124</v>
      </c>
      <c r="BB11" s="42" t="s">
        <v>105</v>
      </c>
      <c r="BC11" s="42"/>
      <c r="BD11" s="51" t="s">
        <v>130</v>
      </c>
      <c r="BE11" s="51" t="s">
        <v>118</v>
      </c>
      <c r="BF11" s="51"/>
      <c r="BG11" s="51" t="s">
        <v>141</v>
      </c>
      <c r="BH11" s="51" t="s">
        <v>150</v>
      </c>
      <c r="BI11" s="51"/>
      <c r="BJ11" s="70" t="s">
        <v>130</v>
      </c>
      <c r="BK11" s="70" t="s">
        <v>133</v>
      </c>
      <c r="BL11" s="70" t="s">
        <v>110</v>
      </c>
      <c r="BM11" s="70" t="s">
        <v>126</v>
      </c>
      <c r="BN11" s="70" t="s">
        <v>84</v>
      </c>
      <c r="BO11" s="70"/>
      <c r="BP11" s="70" t="s">
        <v>134</v>
      </c>
      <c r="BQ11" s="70" t="s">
        <v>135</v>
      </c>
      <c r="BR11" s="70" t="s">
        <v>71</v>
      </c>
      <c r="BS11" s="70" t="s">
        <v>127</v>
      </c>
      <c r="BT11" s="70" t="s">
        <v>151</v>
      </c>
      <c r="BU11" s="70"/>
      <c r="BV11" s="70" t="s">
        <v>122</v>
      </c>
      <c r="BW11" s="70" t="s">
        <v>94</v>
      </c>
      <c r="BX11" s="70"/>
      <c r="BY11" s="70" t="s">
        <v>130</v>
      </c>
      <c r="BZ11" s="70" t="s">
        <v>113</v>
      </c>
      <c r="CA11" s="70"/>
      <c r="CB11" s="70" t="s">
        <v>140</v>
      </c>
      <c r="CC11" s="70" t="s">
        <v>109</v>
      </c>
      <c r="CD11" s="70"/>
      <c r="CE11" s="70" t="s">
        <v>130</v>
      </c>
      <c r="CF11" s="70" t="s">
        <v>115</v>
      </c>
      <c r="CG11" s="70"/>
      <c r="CH11" s="42" t="s">
        <v>143</v>
      </c>
      <c r="CI11" s="42" t="s">
        <v>76</v>
      </c>
      <c r="CJ11" s="42" t="s">
        <v>54</v>
      </c>
      <c r="CK11" s="42" t="s">
        <v>152</v>
      </c>
      <c r="CL11" s="42" t="s">
        <v>153</v>
      </c>
      <c r="CM11" s="42" t="s">
        <v>138</v>
      </c>
      <c r="CN11" s="42" t="s">
        <v>125</v>
      </c>
      <c r="CO11" s="42" t="s">
        <v>77</v>
      </c>
      <c r="CP11" s="42"/>
      <c r="CQ11" s="50" t="s">
        <v>124</v>
      </c>
      <c r="CR11" s="50" t="s">
        <v>58</v>
      </c>
      <c r="CS11" s="50"/>
      <c r="CT11" s="53" t="s">
        <v>130</v>
      </c>
      <c r="CU11" s="53" t="s">
        <v>120</v>
      </c>
      <c r="CV11" s="53"/>
      <c r="CW11" s="42" t="s">
        <v>155</v>
      </c>
      <c r="CX11" s="42" t="s">
        <v>63</v>
      </c>
      <c r="CY11" s="42"/>
      <c r="CZ11" s="42" t="s">
        <v>122</v>
      </c>
      <c r="DA11" s="42" t="s">
        <v>99</v>
      </c>
      <c r="DB11" s="42"/>
      <c r="DC11" s="53" t="s">
        <v>156</v>
      </c>
      <c r="DD11" s="53" t="s">
        <v>157</v>
      </c>
      <c r="DE11" s="53"/>
      <c r="DF11" s="42" t="s">
        <v>60</v>
      </c>
      <c r="DG11" s="42"/>
      <c r="DH11" s="42"/>
      <c r="DI11" s="65"/>
      <c r="DJ11" s="63"/>
      <c r="DK11" s="5">
        <f t="shared" si="41"/>
        <v>1</v>
      </c>
      <c r="DL11" s="5">
        <f t="shared" si="42"/>
        <v>1</v>
      </c>
      <c r="DM11" s="5">
        <f t="shared" si="43"/>
        <v>0</v>
      </c>
      <c r="DN11" s="5">
        <f t="shared" si="4"/>
        <v>0</v>
      </c>
      <c r="DO11" s="5">
        <f t="shared" si="44"/>
        <v>0</v>
      </c>
      <c r="DP11" s="5">
        <f t="shared" si="45"/>
        <v>1</v>
      </c>
      <c r="DQ11" s="5">
        <f t="shared" si="5"/>
        <v>0</v>
      </c>
      <c r="DR11" s="5">
        <f t="shared" si="6"/>
        <v>1</v>
      </c>
      <c r="DS11" s="5">
        <f t="shared" si="46"/>
        <v>0</v>
      </c>
      <c r="DT11" s="5">
        <f t="shared" si="7"/>
        <v>0</v>
      </c>
      <c r="DU11" s="5">
        <f t="shared" si="47"/>
        <v>1</v>
      </c>
      <c r="DV11" s="5">
        <f t="shared" si="8"/>
        <v>0</v>
      </c>
      <c r="DW11" s="5">
        <f t="shared" si="48"/>
        <v>0</v>
      </c>
      <c r="DX11" s="5">
        <f t="shared" si="9"/>
        <v>1</v>
      </c>
      <c r="DY11" s="5">
        <f t="shared" si="49"/>
        <v>0</v>
      </c>
      <c r="DZ11" s="5">
        <f t="shared" si="10"/>
        <v>0</v>
      </c>
      <c r="EA11" s="5">
        <f t="shared" si="50"/>
        <v>0</v>
      </c>
      <c r="EB11" s="5">
        <f t="shared" si="11"/>
        <v>0</v>
      </c>
      <c r="EC11" s="5">
        <f t="shared" si="12"/>
        <v>1</v>
      </c>
      <c r="ED11" s="5">
        <f t="shared" si="13"/>
        <v>0</v>
      </c>
      <c r="EE11" s="5">
        <f t="shared" si="51"/>
        <v>1</v>
      </c>
      <c r="EF11" s="5">
        <f t="shared" si="14"/>
        <v>1</v>
      </c>
      <c r="EG11" s="5">
        <f t="shared" si="15"/>
        <v>0</v>
      </c>
      <c r="EH11" s="5">
        <f t="shared" si="52"/>
        <v>0</v>
      </c>
      <c r="EI11" s="5">
        <f t="shared" si="53"/>
        <v>1</v>
      </c>
      <c r="EJ11" s="5">
        <f t="shared" si="16"/>
        <v>1</v>
      </c>
      <c r="EK11" s="5">
        <f t="shared" si="17"/>
        <v>1</v>
      </c>
      <c r="EL11" s="5">
        <f t="shared" si="54"/>
        <v>0</v>
      </c>
      <c r="EM11" s="5">
        <f t="shared" si="18"/>
        <v>0</v>
      </c>
      <c r="EN11" s="5">
        <f t="shared" si="19"/>
        <v>0</v>
      </c>
      <c r="EO11" s="5">
        <f t="shared" si="20"/>
        <v>0</v>
      </c>
      <c r="EP11" s="5">
        <f t="shared" si="21"/>
        <v>1</v>
      </c>
      <c r="EQ11" s="5">
        <f t="shared" si="55"/>
        <v>0</v>
      </c>
      <c r="ER11" s="5">
        <f t="shared" si="22"/>
        <v>1</v>
      </c>
      <c r="ES11" s="5">
        <f t="shared" si="23"/>
        <v>1</v>
      </c>
      <c r="ET11" s="5">
        <f t="shared" si="24"/>
        <v>0</v>
      </c>
      <c r="EU11" s="5">
        <f t="shared" si="56"/>
        <v>1</v>
      </c>
      <c r="EV11" s="5">
        <f t="shared" si="57"/>
        <v>0</v>
      </c>
      <c r="EW11" s="5">
        <f t="shared" si="58"/>
        <v>0</v>
      </c>
      <c r="EX11" s="5">
        <f t="shared" si="25"/>
        <v>1</v>
      </c>
      <c r="EY11" s="5">
        <f t="shared" si="26"/>
        <v>1</v>
      </c>
      <c r="EZ11" s="5">
        <f t="shared" si="27"/>
        <v>0</v>
      </c>
      <c r="FA11" s="5">
        <f t="shared" si="28"/>
        <v>0</v>
      </c>
      <c r="FB11" s="5">
        <f t="shared" si="29"/>
        <v>1</v>
      </c>
      <c r="FC11" s="5">
        <f t="shared" si="30"/>
        <v>0</v>
      </c>
      <c r="FD11" s="5">
        <f t="shared" si="31"/>
        <v>1</v>
      </c>
      <c r="FE11" s="5">
        <f t="shared" si="32"/>
        <v>1</v>
      </c>
      <c r="FF11" s="5">
        <f t="shared" si="33"/>
        <v>0</v>
      </c>
      <c r="FG11" s="5">
        <f t="shared" si="34"/>
        <v>1</v>
      </c>
      <c r="FH11" s="5">
        <f t="shared" si="35"/>
        <v>0</v>
      </c>
      <c r="FI11" s="5">
        <f t="shared" si="36"/>
        <v>0</v>
      </c>
      <c r="FJ11" s="5">
        <f t="shared" si="59"/>
        <v>1</v>
      </c>
      <c r="FK11" s="5">
        <f t="shared" si="37"/>
        <v>1</v>
      </c>
      <c r="FL11" s="5">
        <f t="shared" si="38"/>
        <v>0</v>
      </c>
      <c r="FM11" s="5">
        <f t="shared" si="60"/>
        <v>1</v>
      </c>
      <c r="FN11" s="5">
        <f t="shared" si="39"/>
        <v>1</v>
      </c>
      <c r="FO11" s="5">
        <f t="shared" si="40"/>
        <v>1</v>
      </c>
    </row>
    <row r="12" spans="2:171" ht="25.5" customHeight="1">
      <c r="B12" s="95"/>
      <c r="C12" s="12" t="s">
        <v>158</v>
      </c>
      <c r="D12" s="30">
        <v>5</v>
      </c>
      <c r="E12" s="42" t="s">
        <v>125</v>
      </c>
      <c r="F12" s="42" t="s">
        <v>81</v>
      </c>
      <c r="G12" s="42"/>
      <c r="H12" s="42" t="s">
        <v>124</v>
      </c>
      <c r="I12" s="42" t="s">
        <v>104</v>
      </c>
      <c r="J12" s="42"/>
      <c r="K12" s="42" t="s">
        <v>159</v>
      </c>
      <c r="L12" s="42" t="s">
        <v>89</v>
      </c>
      <c r="M12" s="42"/>
      <c r="N12" s="51" t="s">
        <v>160</v>
      </c>
      <c r="O12" s="51" t="s">
        <v>161</v>
      </c>
      <c r="P12" s="51"/>
      <c r="Q12" s="51" t="s">
        <v>160</v>
      </c>
      <c r="R12" s="51" t="s">
        <v>162</v>
      </c>
      <c r="S12" s="51"/>
      <c r="T12" s="51" t="s">
        <v>160</v>
      </c>
      <c r="U12" s="51" t="s">
        <v>147</v>
      </c>
      <c r="V12" s="51"/>
      <c r="W12" s="51" t="s">
        <v>160</v>
      </c>
      <c r="X12" s="51" t="s">
        <v>146</v>
      </c>
      <c r="Y12" s="51"/>
      <c r="Z12" s="51" t="s">
        <v>130</v>
      </c>
      <c r="AA12" s="51" t="s">
        <v>153</v>
      </c>
      <c r="AB12" s="51"/>
      <c r="AC12" s="51" t="s">
        <v>130</v>
      </c>
      <c r="AD12" s="51" t="s">
        <v>107</v>
      </c>
      <c r="AE12" s="51"/>
      <c r="AF12" s="51" t="s">
        <v>130</v>
      </c>
      <c r="AG12" s="51" t="s">
        <v>61</v>
      </c>
      <c r="AH12" s="51"/>
      <c r="AI12" s="42" t="s">
        <v>159</v>
      </c>
      <c r="AJ12" s="42" t="s">
        <v>68</v>
      </c>
      <c r="AK12" s="42"/>
      <c r="AL12" s="42" t="s">
        <v>127</v>
      </c>
      <c r="AM12" s="42" t="s">
        <v>128</v>
      </c>
      <c r="AN12" s="42"/>
      <c r="AO12" s="42" t="s">
        <v>124</v>
      </c>
      <c r="AP12" s="42" t="s">
        <v>91</v>
      </c>
      <c r="AQ12" s="42"/>
      <c r="AR12" s="42" t="s">
        <v>122</v>
      </c>
      <c r="AS12" s="42" t="s">
        <v>64</v>
      </c>
      <c r="AT12" s="42"/>
      <c r="AU12" s="42" t="s">
        <v>124</v>
      </c>
      <c r="AV12" s="42" t="s">
        <v>97</v>
      </c>
      <c r="AW12" s="42"/>
      <c r="AX12" s="42" t="s">
        <v>163</v>
      </c>
      <c r="AY12" s="42" t="s">
        <v>65</v>
      </c>
      <c r="AZ12" s="42"/>
      <c r="BA12" s="51" t="s">
        <v>164</v>
      </c>
      <c r="BB12" s="51" t="s">
        <v>149</v>
      </c>
      <c r="BC12" s="42"/>
      <c r="BD12" s="42" t="s">
        <v>124</v>
      </c>
      <c r="BE12" s="42" t="s">
        <v>57</v>
      </c>
      <c r="BF12" s="42"/>
      <c r="BG12" s="42" t="s">
        <v>126</v>
      </c>
      <c r="BH12" s="42" t="s">
        <v>66</v>
      </c>
      <c r="BI12" s="42"/>
      <c r="BJ12" s="70" t="s">
        <v>125</v>
      </c>
      <c r="BK12" s="70" t="s">
        <v>62</v>
      </c>
      <c r="BL12" s="70"/>
      <c r="BM12" s="70" t="s">
        <v>124</v>
      </c>
      <c r="BN12" s="70" t="s">
        <v>165</v>
      </c>
      <c r="BO12" s="70"/>
      <c r="BP12" s="70" t="s">
        <v>126</v>
      </c>
      <c r="BQ12" s="70" t="s">
        <v>106</v>
      </c>
      <c r="BR12" s="70"/>
      <c r="BS12" s="70" t="s">
        <v>130</v>
      </c>
      <c r="BT12" s="70" t="s">
        <v>118</v>
      </c>
      <c r="BU12" s="70"/>
      <c r="BV12" s="73" t="s">
        <v>127</v>
      </c>
      <c r="BW12" s="73" t="s">
        <v>151</v>
      </c>
      <c r="BX12" s="73"/>
      <c r="BY12" s="70" t="s">
        <v>140</v>
      </c>
      <c r="BZ12" s="70" t="s">
        <v>109</v>
      </c>
      <c r="CA12" s="70"/>
      <c r="CB12" s="70" t="s">
        <v>134</v>
      </c>
      <c r="CC12" s="70" t="s">
        <v>166</v>
      </c>
      <c r="CD12" s="70" t="s">
        <v>136</v>
      </c>
      <c r="CE12" s="70" t="s">
        <v>143</v>
      </c>
      <c r="CF12" s="70" t="s">
        <v>76</v>
      </c>
      <c r="CG12" s="70" t="s">
        <v>54</v>
      </c>
      <c r="CH12" s="42" t="s">
        <v>167</v>
      </c>
      <c r="CI12" s="42" t="s">
        <v>133</v>
      </c>
      <c r="CJ12" s="42"/>
      <c r="CK12" s="42" t="s">
        <v>125</v>
      </c>
      <c r="CL12" s="42" t="s">
        <v>77</v>
      </c>
      <c r="CM12" s="42"/>
      <c r="CN12" s="42" t="s">
        <v>126</v>
      </c>
      <c r="CO12" s="42" t="s">
        <v>83</v>
      </c>
      <c r="CP12" s="42"/>
      <c r="CQ12" s="53" t="s">
        <v>148</v>
      </c>
      <c r="CR12" s="53" t="s">
        <v>157</v>
      </c>
      <c r="CS12" s="53"/>
      <c r="CT12" s="42" t="s">
        <v>126</v>
      </c>
      <c r="CU12" s="42" t="s">
        <v>59</v>
      </c>
      <c r="CV12" s="42"/>
      <c r="CW12" s="42" t="s">
        <v>122</v>
      </c>
      <c r="CX12" s="42" t="s">
        <v>99</v>
      </c>
      <c r="CY12" s="42"/>
      <c r="CZ12" s="53" t="s">
        <v>168</v>
      </c>
      <c r="DA12" s="53" t="s">
        <v>169</v>
      </c>
      <c r="DB12" s="53"/>
      <c r="DC12" s="42" t="s">
        <v>170</v>
      </c>
      <c r="DD12" s="42" t="s">
        <v>171</v>
      </c>
      <c r="DE12" s="42"/>
      <c r="DF12" s="42"/>
      <c r="DG12" s="42" t="s">
        <v>95</v>
      </c>
      <c r="DH12" s="42"/>
      <c r="DI12" s="65" t="s">
        <v>84</v>
      </c>
      <c r="DJ12" s="63"/>
      <c r="DK12" s="5">
        <f t="shared" si="41"/>
        <v>0</v>
      </c>
      <c r="DL12" s="5">
        <f t="shared" si="42"/>
        <v>1</v>
      </c>
      <c r="DM12" s="5">
        <f t="shared" si="43"/>
        <v>0</v>
      </c>
      <c r="DN12" s="5">
        <f t="shared" si="4"/>
        <v>0</v>
      </c>
      <c r="DO12" s="5">
        <f t="shared" si="44"/>
        <v>1</v>
      </c>
      <c r="DP12" s="5">
        <f t="shared" si="45"/>
        <v>0</v>
      </c>
      <c r="DQ12" s="5">
        <f t="shared" si="5"/>
        <v>1</v>
      </c>
      <c r="DR12" s="5">
        <f t="shared" si="6"/>
        <v>0</v>
      </c>
      <c r="DS12" s="5">
        <f t="shared" si="46"/>
        <v>1</v>
      </c>
      <c r="DT12" s="5">
        <f t="shared" si="7"/>
        <v>1</v>
      </c>
      <c r="DU12" s="5">
        <f t="shared" si="47"/>
        <v>0</v>
      </c>
      <c r="DV12" s="5">
        <f t="shared" si="8"/>
        <v>1</v>
      </c>
      <c r="DW12" s="5">
        <f t="shared" si="48"/>
        <v>1</v>
      </c>
      <c r="DX12" s="5">
        <f t="shared" si="9"/>
        <v>1</v>
      </c>
      <c r="DY12" s="5">
        <f t="shared" si="49"/>
        <v>0</v>
      </c>
      <c r="DZ12" s="5">
        <f t="shared" si="10"/>
        <v>1</v>
      </c>
      <c r="EA12" s="5">
        <f t="shared" si="50"/>
        <v>0</v>
      </c>
      <c r="EB12" s="5">
        <f t="shared" si="11"/>
        <v>0</v>
      </c>
      <c r="EC12" s="5">
        <f t="shared" si="12"/>
        <v>0</v>
      </c>
      <c r="ED12" s="5">
        <f t="shared" si="13"/>
        <v>0</v>
      </c>
      <c r="EE12" s="5">
        <f t="shared" si="51"/>
        <v>0</v>
      </c>
      <c r="EF12" s="5">
        <f t="shared" si="14"/>
        <v>0</v>
      </c>
      <c r="EG12" s="5">
        <f t="shared" si="15"/>
        <v>0</v>
      </c>
      <c r="EH12" s="5">
        <f t="shared" si="52"/>
        <v>0</v>
      </c>
      <c r="EI12" s="5">
        <f t="shared" si="53"/>
        <v>1</v>
      </c>
      <c r="EJ12" s="5">
        <f t="shared" si="16"/>
        <v>0</v>
      </c>
      <c r="EK12" s="5">
        <f t="shared" si="17"/>
        <v>1</v>
      </c>
      <c r="EL12" s="5">
        <f t="shared" si="54"/>
        <v>0</v>
      </c>
      <c r="EM12" s="5">
        <f t="shared" si="18"/>
        <v>0</v>
      </c>
      <c r="EN12" s="5">
        <f t="shared" si="19"/>
        <v>0</v>
      </c>
      <c r="EO12" s="5">
        <f t="shared" si="20"/>
        <v>1</v>
      </c>
      <c r="EP12" s="5">
        <f t="shared" si="21"/>
        <v>1</v>
      </c>
      <c r="EQ12" s="5">
        <f t="shared" si="55"/>
        <v>1</v>
      </c>
      <c r="ER12" s="5">
        <f t="shared" si="22"/>
        <v>1</v>
      </c>
      <c r="ES12" s="5">
        <f t="shared" si="23"/>
        <v>1</v>
      </c>
      <c r="ET12" s="5">
        <f t="shared" si="24"/>
        <v>1</v>
      </c>
      <c r="EU12" s="5">
        <f t="shared" si="56"/>
        <v>1</v>
      </c>
      <c r="EV12" s="5">
        <f t="shared" si="57"/>
        <v>0</v>
      </c>
      <c r="EW12" s="5">
        <f t="shared" si="58"/>
        <v>1</v>
      </c>
      <c r="EX12" s="5">
        <f t="shared" si="25"/>
        <v>0</v>
      </c>
      <c r="EY12" s="5">
        <f t="shared" si="26"/>
        <v>0</v>
      </c>
      <c r="EZ12" s="5">
        <f t="shared" si="27"/>
        <v>1</v>
      </c>
      <c r="FA12" s="5">
        <f t="shared" si="28"/>
        <v>0</v>
      </c>
      <c r="FB12" s="5">
        <f t="shared" si="29"/>
        <v>1</v>
      </c>
      <c r="FC12" s="5">
        <f t="shared" si="30"/>
        <v>0</v>
      </c>
      <c r="FD12" s="5">
        <f t="shared" si="31"/>
        <v>0</v>
      </c>
      <c r="FE12" s="5">
        <f t="shared" si="32"/>
        <v>0</v>
      </c>
      <c r="FF12" s="5">
        <f t="shared" si="33"/>
        <v>1</v>
      </c>
      <c r="FG12" s="5">
        <f t="shared" si="34"/>
        <v>0</v>
      </c>
      <c r="FH12" s="5">
        <f t="shared" si="35"/>
        <v>1</v>
      </c>
      <c r="FI12" s="5">
        <f t="shared" si="36"/>
        <v>0</v>
      </c>
      <c r="FJ12" s="5">
        <f t="shared" si="59"/>
        <v>1</v>
      </c>
      <c r="FK12" s="5">
        <f t="shared" si="37"/>
        <v>1</v>
      </c>
      <c r="FL12" s="5">
        <f t="shared" si="38"/>
        <v>1</v>
      </c>
      <c r="FM12" s="5">
        <f t="shared" si="60"/>
        <v>0</v>
      </c>
      <c r="FN12" s="5">
        <f t="shared" si="39"/>
        <v>0</v>
      </c>
      <c r="FO12" s="5">
        <f t="shared" si="40"/>
        <v>1</v>
      </c>
    </row>
    <row r="13" spans="2:171" ht="25.5" customHeight="1">
      <c r="B13" s="95"/>
      <c r="C13" s="12" t="s">
        <v>172</v>
      </c>
      <c r="D13" s="30">
        <v>6</v>
      </c>
      <c r="E13" s="42" t="s">
        <v>125</v>
      </c>
      <c r="F13" s="42" t="s">
        <v>81</v>
      </c>
      <c r="G13" s="42"/>
      <c r="H13" s="42" t="s">
        <v>132</v>
      </c>
      <c r="I13" s="42" t="s">
        <v>63</v>
      </c>
      <c r="J13" s="42"/>
      <c r="K13" s="42" t="s">
        <v>122</v>
      </c>
      <c r="L13" s="42" t="s">
        <v>94</v>
      </c>
      <c r="M13" s="42"/>
      <c r="N13" s="51" t="s">
        <v>160</v>
      </c>
      <c r="O13" s="51" t="s">
        <v>161</v>
      </c>
      <c r="P13" s="51"/>
      <c r="Q13" s="51" t="s">
        <v>160</v>
      </c>
      <c r="R13" s="51" t="s">
        <v>162</v>
      </c>
      <c r="S13" s="51"/>
      <c r="T13" s="51" t="s">
        <v>160</v>
      </c>
      <c r="U13" s="51" t="s">
        <v>147</v>
      </c>
      <c r="V13" s="51"/>
      <c r="W13" s="51" t="s">
        <v>160</v>
      </c>
      <c r="X13" s="51" t="s">
        <v>146</v>
      </c>
      <c r="Y13" s="51"/>
      <c r="Z13" s="51" t="s">
        <v>130</v>
      </c>
      <c r="AA13" s="51" t="s">
        <v>153</v>
      </c>
      <c r="AB13" s="51"/>
      <c r="AC13" s="51" t="s">
        <v>130</v>
      </c>
      <c r="AD13" s="51" t="s">
        <v>107</v>
      </c>
      <c r="AE13" s="51"/>
      <c r="AF13" s="51" t="s">
        <v>130</v>
      </c>
      <c r="AG13" s="51" t="s">
        <v>61</v>
      </c>
      <c r="AH13" s="51"/>
      <c r="AI13" s="42" t="s">
        <v>127</v>
      </c>
      <c r="AJ13" s="42" t="s">
        <v>128</v>
      </c>
      <c r="AK13" s="42"/>
      <c r="AL13" s="42" t="s">
        <v>159</v>
      </c>
      <c r="AM13" s="42" t="s">
        <v>68</v>
      </c>
      <c r="AN13" s="42"/>
      <c r="AO13" s="42" t="s">
        <v>124</v>
      </c>
      <c r="AP13" s="42" t="s">
        <v>91</v>
      </c>
      <c r="AQ13" s="42"/>
      <c r="AR13" s="42" t="s">
        <v>122</v>
      </c>
      <c r="AS13" s="42" t="s">
        <v>70</v>
      </c>
      <c r="AT13" s="42"/>
      <c r="AU13" s="42" t="s">
        <v>124</v>
      </c>
      <c r="AV13" s="42" t="s">
        <v>97</v>
      </c>
      <c r="AW13" s="42"/>
      <c r="AX13" s="42" t="s">
        <v>163</v>
      </c>
      <c r="AY13" s="42" t="s">
        <v>65</v>
      </c>
      <c r="AZ13" s="42"/>
      <c r="BA13" s="51" t="s">
        <v>164</v>
      </c>
      <c r="BB13" s="51" t="s">
        <v>149</v>
      </c>
      <c r="BC13" s="42"/>
      <c r="BD13" s="42" t="s">
        <v>124</v>
      </c>
      <c r="BE13" s="42" t="s">
        <v>57</v>
      </c>
      <c r="BF13" s="42"/>
      <c r="BG13" s="42" t="s">
        <v>126</v>
      </c>
      <c r="BH13" s="42" t="s">
        <v>66</v>
      </c>
      <c r="BI13" s="42"/>
      <c r="BJ13" s="70" t="s">
        <v>125</v>
      </c>
      <c r="BK13" s="70" t="s">
        <v>62</v>
      </c>
      <c r="BL13" s="70"/>
      <c r="BM13" s="70" t="s">
        <v>124</v>
      </c>
      <c r="BN13" s="70" t="s">
        <v>165</v>
      </c>
      <c r="BO13" s="70"/>
      <c r="BP13" s="70" t="s">
        <v>126</v>
      </c>
      <c r="BQ13" s="70" t="s">
        <v>106</v>
      </c>
      <c r="BR13" s="70"/>
      <c r="BS13" s="70" t="s">
        <v>130</v>
      </c>
      <c r="BT13" s="70" t="s">
        <v>118</v>
      </c>
      <c r="BU13" s="70"/>
      <c r="BV13" s="73" t="s">
        <v>127</v>
      </c>
      <c r="BW13" s="73" t="s">
        <v>151</v>
      </c>
      <c r="BX13" s="73"/>
      <c r="BY13" s="70" t="s">
        <v>126</v>
      </c>
      <c r="BZ13" s="70" t="s">
        <v>80</v>
      </c>
      <c r="CA13" s="70"/>
      <c r="CB13" s="70" t="s">
        <v>134</v>
      </c>
      <c r="CC13" s="70" t="s">
        <v>166</v>
      </c>
      <c r="CD13" s="70" t="s">
        <v>136</v>
      </c>
      <c r="CE13" s="70" t="s">
        <v>143</v>
      </c>
      <c r="CF13" s="70" t="s">
        <v>76</v>
      </c>
      <c r="CG13" s="70" t="s">
        <v>54</v>
      </c>
      <c r="CH13" s="42" t="s">
        <v>167</v>
      </c>
      <c r="CI13" s="42" t="s">
        <v>133</v>
      </c>
      <c r="CJ13" s="42"/>
      <c r="CK13" s="42" t="s">
        <v>125</v>
      </c>
      <c r="CL13" s="42" t="s">
        <v>77</v>
      </c>
      <c r="CM13" s="42"/>
      <c r="CN13" s="42" t="s">
        <v>126</v>
      </c>
      <c r="CO13" s="42" t="s">
        <v>83</v>
      </c>
      <c r="CP13" s="42"/>
      <c r="CQ13" s="53" t="s">
        <v>148</v>
      </c>
      <c r="CR13" s="53" t="s">
        <v>157</v>
      </c>
      <c r="CS13" s="53"/>
      <c r="CT13" s="50" t="s">
        <v>173</v>
      </c>
      <c r="CU13" s="50" t="s">
        <v>74</v>
      </c>
      <c r="CV13" s="50"/>
      <c r="CW13" s="42" t="s">
        <v>122</v>
      </c>
      <c r="CX13" s="42" t="s">
        <v>99</v>
      </c>
      <c r="CY13" s="42"/>
      <c r="CZ13" s="53" t="s">
        <v>168</v>
      </c>
      <c r="DA13" s="53" t="s">
        <v>169</v>
      </c>
      <c r="DB13" s="53"/>
      <c r="DC13" s="42" t="s">
        <v>170</v>
      </c>
      <c r="DD13" s="42" t="s">
        <v>171</v>
      </c>
      <c r="DE13" s="42"/>
      <c r="DF13" s="42"/>
      <c r="DG13" s="42" t="s">
        <v>95</v>
      </c>
      <c r="DH13" s="42"/>
      <c r="DI13" s="65" t="s">
        <v>84</v>
      </c>
      <c r="DJ13" s="63"/>
      <c r="DK13" s="5">
        <f t="shared" si="41"/>
        <v>0</v>
      </c>
      <c r="DL13" s="5">
        <f t="shared" si="42"/>
        <v>1</v>
      </c>
      <c r="DM13" s="5">
        <f t="shared" si="43"/>
        <v>0</v>
      </c>
      <c r="DN13" s="5">
        <f t="shared" si="4"/>
        <v>0</v>
      </c>
      <c r="DO13" s="5">
        <f t="shared" si="44"/>
        <v>1</v>
      </c>
      <c r="DP13" s="5">
        <f t="shared" si="45"/>
        <v>0</v>
      </c>
      <c r="DQ13" s="5">
        <f t="shared" si="5"/>
        <v>0</v>
      </c>
      <c r="DR13" s="5">
        <f t="shared" si="6"/>
        <v>0</v>
      </c>
      <c r="DS13" s="5">
        <f t="shared" si="46"/>
        <v>1</v>
      </c>
      <c r="DT13" s="5">
        <f t="shared" si="7"/>
        <v>1</v>
      </c>
      <c r="DU13" s="5">
        <f t="shared" si="47"/>
        <v>1</v>
      </c>
      <c r="DV13" s="5">
        <f t="shared" si="8"/>
        <v>0</v>
      </c>
      <c r="DW13" s="5">
        <f t="shared" si="48"/>
        <v>1</v>
      </c>
      <c r="DX13" s="5">
        <f t="shared" si="9"/>
        <v>1</v>
      </c>
      <c r="DY13" s="5">
        <f t="shared" si="49"/>
        <v>0</v>
      </c>
      <c r="DZ13" s="5">
        <f t="shared" si="10"/>
        <v>1</v>
      </c>
      <c r="EA13" s="5">
        <f t="shared" si="50"/>
        <v>0</v>
      </c>
      <c r="EB13" s="5">
        <f t="shared" si="11"/>
        <v>1</v>
      </c>
      <c r="EC13" s="5">
        <f t="shared" si="12"/>
        <v>0</v>
      </c>
      <c r="ED13" s="5">
        <f t="shared" si="13"/>
        <v>0</v>
      </c>
      <c r="EE13" s="5">
        <f t="shared" si="51"/>
        <v>0</v>
      </c>
      <c r="EF13" s="5">
        <f t="shared" si="14"/>
        <v>0</v>
      </c>
      <c r="EG13" s="5">
        <f t="shared" si="15"/>
        <v>1</v>
      </c>
      <c r="EH13" s="5">
        <f t="shared" si="52"/>
        <v>0</v>
      </c>
      <c r="EI13" s="5">
        <f t="shared" si="53"/>
        <v>1</v>
      </c>
      <c r="EJ13" s="5">
        <f t="shared" si="16"/>
        <v>1</v>
      </c>
      <c r="EK13" s="5">
        <f t="shared" si="17"/>
        <v>1</v>
      </c>
      <c r="EL13" s="5">
        <f t="shared" si="54"/>
        <v>0</v>
      </c>
      <c r="EM13" s="5">
        <f t="shared" si="18"/>
        <v>0</v>
      </c>
      <c r="EN13" s="5">
        <f t="shared" si="19"/>
        <v>1</v>
      </c>
      <c r="EO13" s="5">
        <f t="shared" si="20"/>
        <v>1</v>
      </c>
      <c r="EP13" s="5">
        <f t="shared" si="21"/>
        <v>1</v>
      </c>
      <c r="EQ13" s="5">
        <f t="shared" si="55"/>
        <v>1</v>
      </c>
      <c r="ER13" s="5">
        <f t="shared" si="22"/>
        <v>1</v>
      </c>
      <c r="ES13" s="5">
        <f t="shared" si="23"/>
        <v>1</v>
      </c>
      <c r="ET13" s="5">
        <f t="shared" si="24"/>
        <v>0</v>
      </c>
      <c r="EU13" s="5">
        <f t="shared" si="56"/>
        <v>1</v>
      </c>
      <c r="EV13" s="5">
        <f t="shared" si="57"/>
        <v>0</v>
      </c>
      <c r="EW13" s="5">
        <f t="shared" si="58"/>
        <v>1</v>
      </c>
      <c r="EX13" s="5">
        <f t="shared" si="25"/>
        <v>0</v>
      </c>
      <c r="EY13" s="5">
        <f t="shared" si="26"/>
        <v>0</v>
      </c>
      <c r="EZ13" s="5">
        <f t="shared" si="27"/>
        <v>0</v>
      </c>
      <c r="FA13" s="5">
        <f t="shared" si="28"/>
        <v>0</v>
      </c>
      <c r="FB13" s="5">
        <f t="shared" si="29"/>
        <v>1</v>
      </c>
      <c r="FC13" s="5">
        <f t="shared" si="30"/>
        <v>0</v>
      </c>
      <c r="FD13" s="5">
        <f t="shared" si="31"/>
        <v>0</v>
      </c>
      <c r="FE13" s="5">
        <f t="shared" si="32"/>
        <v>1</v>
      </c>
      <c r="FF13" s="5">
        <f t="shared" si="33"/>
        <v>1</v>
      </c>
      <c r="FG13" s="5">
        <f t="shared" si="34"/>
        <v>0</v>
      </c>
      <c r="FH13" s="5">
        <f t="shared" si="35"/>
        <v>1</v>
      </c>
      <c r="FI13" s="5">
        <f t="shared" si="36"/>
        <v>0</v>
      </c>
      <c r="FJ13" s="5">
        <f t="shared" si="59"/>
        <v>1</v>
      </c>
      <c r="FK13" s="5">
        <f t="shared" si="37"/>
        <v>1</v>
      </c>
      <c r="FL13" s="5">
        <f t="shared" si="38"/>
        <v>1</v>
      </c>
      <c r="FM13" s="5">
        <f t="shared" si="60"/>
        <v>0</v>
      </c>
      <c r="FN13" s="5">
        <f t="shared" si="39"/>
        <v>0</v>
      </c>
      <c r="FO13" s="5">
        <f t="shared" si="40"/>
        <v>1</v>
      </c>
    </row>
    <row r="14" spans="2:171" ht="25.5" customHeight="1">
      <c r="B14" s="95"/>
      <c r="C14" s="12" t="s">
        <v>174</v>
      </c>
      <c r="D14" s="30">
        <v>7</v>
      </c>
      <c r="E14" s="42" t="s">
        <v>175</v>
      </c>
      <c r="F14" s="42" t="s">
        <v>89</v>
      </c>
      <c r="G14" s="42"/>
      <c r="H14" s="42" t="s">
        <v>143</v>
      </c>
      <c r="I14" s="42" t="s">
        <v>73</v>
      </c>
      <c r="J14" s="42" t="s">
        <v>53</v>
      </c>
      <c r="K14" s="42" t="s">
        <v>132</v>
      </c>
      <c r="L14" s="42" t="s">
        <v>63</v>
      </c>
      <c r="M14" s="42"/>
      <c r="N14" s="51" t="s">
        <v>160</v>
      </c>
      <c r="O14" s="51" t="s">
        <v>161</v>
      </c>
      <c r="P14" s="51"/>
      <c r="Q14" s="51" t="s">
        <v>160</v>
      </c>
      <c r="R14" s="51" t="s">
        <v>162</v>
      </c>
      <c r="S14" s="51"/>
      <c r="T14" s="51" t="s">
        <v>160</v>
      </c>
      <c r="U14" s="51" t="s">
        <v>147</v>
      </c>
      <c r="V14" s="51"/>
      <c r="W14" s="51" t="s">
        <v>160</v>
      </c>
      <c r="X14" s="51" t="s">
        <v>146</v>
      </c>
      <c r="Y14" s="51"/>
      <c r="Z14" s="42" t="s">
        <v>123</v>
      </c>
      <c r="AA14" s="42" t="s">
        <v>88</v>
      </c>
      <c r="AB14" s="42"/>
      <c r="AC14" s="42" t="s">
        <v>125</v>
      </c>
      <c r="AD14" s="42" t="s">
        <v>81</v>
      </c>
      <c r="AE14" s="42"/>
      <c r="AF14" s="42" t="s">
        <v>126</v>
      </c>
      <c r="AG14" s="42" t="s">
        <v>129</v>
      </c>
      <c r="AH14" s="42"/>
      <c r="AI14" s="42" t="s">
        <v>122</v>
      </c>
      <c r="AJ14" s="42" t="s">
        <v>70</v>
      </c>
      <c r="AK14" s="42"/>
      <c r="AL14" s="42" t="s">
        <v>124</v>
      </c>
      <c r="AM14" s="42" t="s">
        <v>104</v>
      </c>
      <c r="AN14" s="42"/>
      <c r="AO14" s="42" t="s">
        <v>159</v>
      </c>
      <c r="AP14" s="42" t="s">
        <v>68</v>
      </c>
      <c r="AQ14" s="42"/>
      <c r="AR14" s="42" t="s">
        <v>127</v>
      </c>
      <c r="AS14" s="42" t="s">
        <v>128</v>
      </c>
      <c r="AT14" s="42"/>
      <c r="AU14" s="51" t="s">
        <v>164</v>
      </c>
      <c r="AV14" s="51" t="s">
        <v>149</v>
      </c>
      <c r="AW14" s="51"/>
      <c r="AX14" s="51" t="s">
        <v>141</v>
      </c>
      <c r="AY14" s="51" t="s">
        <v>113</v>
      </c>
      <c r="AZ14" s="51"/>
      <c r="BA14" s="51" t="s">
        <v>130</v>
      </c>
      <c r="BB14" s="51" t="s">
        <v>116</v>
      </c>
      <c r="BC14" s="42"/>
      <c r="BD14" s="42" t="s">
        <v>126</v>
      </c>
      <c r="BE14" s="42" t="s">
        <v>83</v>
      </c>
      <c r="BF14" s="42"/>
      <c r="BG14" s="42" t="s">
        <v>163</v>
      </c>
      <c r="BH14" s="42" t="s">
        <v>65</v>
      </c>
      <c r="BI14" s="42"/>
      <c r="BJ14" s="70" t="s">
        <v>124</v>
      </c>
      <c r="BK14" s="70" t="s">
        <v>58</v>
      </c>
      <c r="BL14" s="70"/>
      <c r="BM14" s="70" t="s">
        <v>125</v>
      </c>
      <c r="BN14" s="70" t="s">
        <v>62</v>
      </c>
      <c r="BO14" s="70"/>
      <c r="BP14" s="70" t="s">
        <v>130</v>
      </c>
      <c r="BQ14" s="70" t="s">
        <v>135</v>
      </c>
      <c r="BR14" s="70"/>
      <c r="BS14" s="70" t="s">
        <v>126</v>
      </c>
      <c r="BT14" s="70" t="s">
        <v>80</v>
      </c>
      <c r="BU14" s="70"/>
      <c r="BV14" s="70" t="s">
        <v>130</v>
      </c>
      <c r="BW14" s="70" t="s">
        <v>61</v>
      </c>
      <c r="BX14" s="70"/>
      <c r="BY14" s="70" t="s">
        <v>127</v>
      </c>
      <c r="BZ14" s="70" t="s">
        <v>151</v>
      </c>
      <c r="CA14" s="70"/>
      <c r="CB14" s="70" t="s">
        <v>143</v>
      </c>
      <c r="CC14" s="70" t="s">
        <v>76</v>
      </c>
      <c r="CD14" s="70" t="s">
        <v>54</v>
      </c>
      <c r="CE14" s="70" t="s">
        <v>137</v>
      </c>
      <c r="CF14" s="70" t="s">
        <v>138</v>
      </c>
      <c r="CG14" s="70" t="s">
        <v>139</v>
      </c>
      <c r="CH14" s="42" t="s">
        <v>124</v>
      </c>
      <c r="CI14" s="42" t="s">
        <v>97</v>
      </c>
      <c r="CJ14" s="42"/>
      <c r="CK14" s="42" t="s">
        <v>134</v>
      </c>
      <c r="CL14" s="42" t="s">
        <v>166</v>
      </c>
      <c r="CM14" s="42"/>
      <c r="CN14" s="42" t="s">
        <v>176</v>
      </c>
      <c r="CO14" s="42" t="s">
        <v>133</v>
      </c>
      <c r="CP14" s="42" t="s">
        <v>118</v>
      </c>
      <c r="CQ14" s="42" t="s">
        <v>122</v>
      </c>
      <c r="CR14" s="42" t="s">
        <v>99</v>
      </c>
      <c r="CS14" s="42"/>
      <c r="CT14" s="53" t="s">
        <v>148</v>
      </c>
      <c r="CU14" s="53" t="s">
        <v>157</v>
      </c>
      <c r="CV14" s="53"/>
      <c r="CW14" s="50" t="s">
        <v>173</v>
      </c>
      <c r="CX14" s="50" t="s">
        <v>74</v>
      </c>
      <c r="CY14" s="50"/>
      <c r="CZ14" s="42" t="s">
        <v>126</v>
      </c>
      <c r="DA14" s="42" t="s">
        <v>59</v>
      </c>
      <c r="DB14" s="42"/>
      <c r="DC14" s="53" t="s">
        <v>168</v>
      </c>
      <c r="DD14" s="53" t="s">
        <v>120</v>
      </c>
      <c r="DE14" s="53"/>
      <c r="DF14" s="42"/>
      <c r="DG14" s="42" t="s">
        <v>95</v>
      </c>
      <c r="DH14" s="42"/>
      <c r="DI14" s="65" t="s">
        <v>84</v>
      </c>
      <c r="DJ14" s="63"/>
      <c r="DK14" s="5">
        <f t="shared" si="41"/>
        <v>1</v>
      </c>
      <c r="DL14" s="5">
        <f t="shared" si="42"/>
        <v>1</v>
      </c>
      <c r="DM14" s="5">
        <f t="shared" si="43"/>
        <v>0</v>
      </c>
      <c r="DN14" s="5">
        <f t="shared" si="4"/>
        <v>0</v>
      </c>
      <c r="DO14" s="5">
        <f t="shared" si="44"/>
        <v>0</v>
      </c>
      <c r="DP14" s="5">
        <f t="shared" si="45"/>
        <v>1</v>
      </c>
      <c r="DQ14" s="5">
        <f t="shared" si="5"/>
        <v>1</v>
      </c>
      <c r="DR14" s="5">
        <f t="shared" si="6"/>
        <v>0</v>
      </c>
      <c r="DS14" s="5">
        <f t="shared" si="46"/>
        <v>1</v>
      </c>
      <c r="DT14" s="5">
        <f t="shared" si="7"/>
        <v>1</v>
      </c>
      <c r="DU14" s="5">
        <f t="shared" si="47"/>
        <v>1</v>
      </c>
      <c r="DV14" s="5">
        <f t="shared" si="8"/>
        <v>0</v>
      </c>
      <c r="DW14" s="5">
        <f t="shared" si="48"/>
        <v>1</v>
      </c>
      <c r="DX14" s="5">
        <f t="shared" si="9"/>
        <v>0</v>
      </c>
      <c r="DY14" s="5">
        <f t="shared" si="49"/>
        <v>0</v>
      </c>
      <c r="DZ14" s="5">
        <f t="shared" si="10"/>
        <v>1</v>
      </c>
      <c r="EA14" s="5">
        <f t="shared" si="50"/>
        <v>0</v>
      </c>
      <c r="EB14" s="5">
        <f t="shared" si="11"/>
        <v>1</v>
      </c>
      <c r="EC14" s="5">
        <f t="shared" si="12"/>
        <v>0</v>
      </c>
      <c r="ED14" s="5">
        <f t="shared" si="13"/>
        <v>0</v>
      </c>
      <c r="EE14" s="5">
        <f t="shared" si="51"/>
        <v>1</v>
      </c>
      <c r="EF14" s="5">
        <f t="shared" si="14"/>
        <v>1</v>
      </c>
      <c r="EG14" s="5">
        <f t="shared" si="15"/>
        <v>1</v>
      </c>
      <c r="EH14" s="5">
        <f t="shared" si="52"/>
        <v>0</v>
      </c>
      <c r="EI14" s="5">
        <f t="shared" si="53"/>
        <v>1</v>
      </c>
      <c r="EJ14" s="5">
        <f t="shared" si="16"/>
        <v>1</v>
      </c>
      <c r="EK14" s="5">
        <f t="shared" si="17"/>
        <v>0</v>
      </c>
      <c r="EL14" s="5">
        <f t="shared" si="54"/>
        <v>0</v>
      </c>
      <c r="EM14" s="5">
        <f t="shared" si="18"/>
        <v>0</v>
      </c>
      <c r="EN14" s="5">
        <f t="shared" si="19"/>
        <v>1</v>
      </c>
      <c r="EO14" s="5">
        <f t="shared" si="20"/>
        <v>1</v>
      </c>
      <c r="EP14" s="5">
        <f t="shared" si="21"/>
        <v>0</v>
      </c>
      <c r="EQ14" s="5">
        <f t="shared" si="55"/>
        <v>1</v>
      </c>
      <c r="ER14" s="5">
        <f t="shared" si="22"/>
        <v>1</v>
      </c>
      <c r="ES14" s="5">
        <f t="shared" si="23"/>
        <v>1</v>
      </c>
      <c r="ET14" s="5">
        <f t="shared" si="24"/>
        <v>1</v>
      </c>
      <c r="EU14" s="5">
        <f t="shared" si="56"/>
        <v>0</v>
      </c>
      <c r="EV14" s="5">
        <f t="shared" si="57"/>
        <v>0</v>
      </c>
      <c r="EW14" s="5">
        <f t="shared" si="58"/>
        <v>0</v>
      </c>
      <c r="EX14" s="5">
        <f t="shared" si="25"/>
        <v>0</v>
      </c>
      <c r="EY14" s="5">
        <f t="shared" si="26"/>
        <v>1</v>
      </c>
      <c r="EZ14" s="5">
        <f t="shared" si="27"/>
        <v>1</v>
      </c>
      <c r="FA14" s="5">
        <f t="shared" si="28"/>
        <v>0</v>
      </c>
      <c r="FB14" s="5">
        <f t="shared" si="29"/>
        <v>0</v>
      </c>
      <c r="FC14" s="5">
        <f t="shared" si="30"/>
        <v>0</v>
      </c>
      <c r="FD14" s="5">
        <f t="shared" si="31"/>
        <v>0</v>
      </c>
      <c r="FE14" s="5">
        <f t="shared" si="32"/>
        <v>0</v>
      </c>
      <c r="FF14" s="5">
        <f t="shared" si="33"/>
        <v>1</v>
      </c>
      <c r="FG14" s="5">
        <f t="shared" si="34"/>
        <v>0</v>
      </c>
      <c r="FH14" s="5">
        <f t="shared" si="35"/>
        <v>1</v>
      </c>
      <c r="FI14" s="5">
        <f t="shared" si="36"/>
        <v>0</v>
      </c>
      <c r="FJ14" s="5">
        <f t="shared" si="59"/>
        <v>1</v>
      </c>
      <c r="FK14" s="5">
        <f t="shared" si="37"/>
        <v>0</v>
      </c>
      <c r="FL14" s="5">
        <f t="shared" si="38"/>
        <v>1</v>
      </c>
      <c r="FM14" s="5">
        <f t="shared" si="60"/>
        <v>1</v>
      </c>
      <c r="FN14" s="5">
        <f t="shared" si="39"/>
        <v>1</v>
      </c>
      <c r="FO14" s="5">
        <f t="shared" si="40"/>
        <v>1</v>
      </c>
    </row>
    <row r="15" spans="2:171" ht="25.5" customHeight="1">
      <c r="B15" s="95"/>
      <c r="C15" s="12" t="s">
        <v>177</v>
      </c>
      <c r="D15" s="30">
        <v>8</v>
      </c>
      <c r="E15" s="42" t="s">
        <v>132</v>
      </c>
      <c r="F15" s="42" t="s">
        <v>63</v>
      </c>
      <c r="G15" s="42"/>
      <c r="H15" s="42" t="s">
        <v>143</v>
      </c>
      <c r="I15" s="42" t="s">
        <v>73</v>
      </c>
      <c r="J15" s="42" t="s">
        <v>53</v>
      </c>
      <c r="K15" s="42" t="s">
        <v>178</v>
      </c>
      <c r="L15" s="42" t="s">
        <v>106</v>
      </c>
      <c r="M15" s="42" t="s">
        <v>87</v>
      </c>
      <c r="N15" s="42" t="s">
        <v>123</v>
      </c>
      <c r="O15" s="42" t="s">
        <v>88</v>
      </c>
      <c r="P15" s="42"/>
      <c r="Q15" s="42" t="s">
        <v>178</v>
      </c>
      <c r="R15" s="42" t="s">
        <v>129</v>
      </c>
      <c r="S15" s="42" t="s">
        <v>60</v>
      </c>
      <c r="T15" s="42" t="s">
        <v>132</v>
      </c>
      <c r="U15" s="42" t="s">
        <v>72</v>
      </c>
      <c r="V15" s="42"/>
      <c r="W15" s="42" t="s">
        <v>178</v>
      </c>
      <c r="X15" s="42" t="s">
        <v>106</v>
      </c>
      <c r="Y15" s="42" t="s">
        <v>60</v>
      </c>
      <c r="Z15" s="42" t="s">
        <v>122</v>
      </c>
      <c r="AA15" s="42" t="s">
        <v>71</v>
      </c>
      <c r="AB15" s="42"/>
      <c r="AC15" s="42" t="s">
        <v>125</v>
      </c>
      <c r="AD15" s="42" t="s">
        <v>81</v>
      </c>
      <c r="AE15" s="42"/>
      <c r="AF15" s="42" t="s">
        <v>140</v>
      </c>
      <c r="AG15" s="42" t="s">
        <v>109</v>
      </c>
      <c r="AH15" s="42"/>
      <c r="AI15" s="42" t="s">
        <v>122</v>
      </c>
      <c r="AJ15" s="42" t="s">
        <v>64</v>
      </c>
      <c r="AK15" s="42"/>
      <c r="AL15" s="42" t="s">
        <v>124</v>
      </c>
      <c r="AM15" s="42" t="s">
        <v>104</v>
      </c>
      <c r="AN15" s="42"/>
      <c r="AO15" s="42" t="s">
        <v>127</v>
      </c>
      <c r="AP15" s="42" t="s">
        <v>128</v>
      </c>
      <c r="AQ15" s="42"/>
      <c r="AR15" s="42" t="s">
        <v>159</v>
      </c>
      <c r="AS15" s="42" t="s">
        <v>68</v>
      </c>
      <c r="AT15" s="42"/>
      <c r="AU15" s="51" t="s">
        <v>164</v>
      </c>
      <c r="AV15" s="51" t="s">
        <v>149</v>
      </c>
      <c r="AW15" s="51"/>
      <c r="AX15" s="51" t="s">
        <v>141</v>
      </c>
      <c r="AY15" s="51" t="s">
        <v>113</v>
      </c>
      <c r="AZ15" s="51"/>
      <c r="BA15" s="51" t="s">
        <v>130</v>
      </c>
      <c r="BB15" s="51" t="s">
        <v>116</v>
      </c>
      <c r="BC15" s="42"/>
      <c r="BD15" s="42" t="s">
        <v>126</v>
      </c>
      <c r="BE15" s="42" t="s">
        <v>83</v>
      </c>
      <c r="BF15" s="42"/>
      <c r="BG15" s="42" t="s">
        <v>163</v>
      </c>
      <c r="BH15" s="42" t="s">
        <v>65</v>
      </c>
      <c r="BI15" s="42"/>
      <c r="BJ15" s="70" t="s">
        <v>124</v>
      </c>
      <c r="BK15" s="70" t="s">
        <v>58</v>
      </c>
      <c r="BL15" s="70"/>
      <c r="BM15" s="70" t="s">
        <v>125</v>
      </c>
      <c r="BN15" s="70" t="s">
        <v>62</v>
      </c>
      <c r="BO15" s="70"/>
      <c r="BP15" s="70" t="s">
        <v>130</v>
      </c>
      <c r="BQ15" s="70" t="s">
        <v>179</v>
      </c>
      <c r="BR15" s="70"/>
      <c r="BS15" s="70" t="s">
        <v>126</v>
      </c>
      <c r="BT15" s="70" t="s">
        <v>80</v>
      </c>
      <c r="BU15" s="70"/>
      <c r="BV15" s="70" t="s">
        <v>130</v>
      </c>
      <c r="BW15" s="70" t="s">
        <v>61</v>
      </c>
      <c r="BX15" s="70"/>
      <c r="BY15" s="70" t="s">
        <v>127</v>
      </c>
      <c r="BZ15" s="70" t="s">
        <v>151</v>
      </c>
      <c r="CA15" s="70"/>
      <c r="CB15" s="70" t="s">
        <v>143</v>
      </c>
      <c r="CC15" s="70" t="s">
        <v>76</v>
      </c>
      <c r="CD15" s="70" t="s">
        <v>54</v>
      </c>
      <c r="CE15" s="70" t="s">
        <v>137</v>
      </c>
      <c r="CF15" s="70" t="s">
        <v>138</v>
      </c>
      <c r="CG15" s="70" t="s">
        <v>139</v>
      </c>
      <c r="CH15" s="42" t="s">
        <v>124</v>
      </c>
      <c r="CI15" s="42" t="s">
        <v>97</v>
      </c>
      <c r="CJ15" s="42"/>
      <c r="CK15" s="42" t="s">
        <v>134</v>
      </c>
      <c r="CL15" s="42" t="s">
        <v>166</v>
      </c>
      <c r="CM15" s="42"/>
      <c r="CN15" s="42" t="s">
        <v>176</v>
      </c>
      <c r="CO15" s="42" t="s">
        <v>133</v>
      </c>
      <c r="CP15" s="42" t="s">
        <v>118</v>
      </c>
      <c r="CQ15" s="50" t="s">
        <v>173</v>
      </c>
      <c r="CR15" s="50" t="s">
        <v>74</v>
      </c>
      <c r="CS15" s="50"/>
      <c r="CT15" s="53" t="s">
        <v>148</v>
      </c>
      <c r="CU15" s="53" t="s">
        <v>157</v>
      </c>
      <c r="CV15" s="53"/>
      <c r="CW15" s="42" t="s">
        <v>144</v>
      </c>
      <c r="CX15" s="42" t="s">
        <v>90</v>
      </c>
      <c r="CY15" s="54"/>
      <c r="CZ15" s="42" t="s">
        <v>126</v>
      </c>
      <c r="DA15" s="42" t="s">
        <v>59</v>
      </c>
      <c r="DB15" s="42"/>
      <c r="DC15" s="53" t="s">
        <v>168</v>
      </c>
      <c r="DD15" s="53" t="s">
        <v>120</v>
      </c>
      <c r="DE15" s="53"/>
      <c r="DF15" s="42"/>
      <c r="DG15" s="42" t="s">
        <v>95</v>
      </c>
      <c r="DH15" s="42"/>
      <c r="DI15" s="65" t="s">
        <v>84</v>
      </c>
      <c r="DJ15" s="63"/>
      <c r="DK15" s="5">
        <f t="shared" si="41"/>
        <v>1</v>
      </c>
      <c r="DL15" s="5">
        <f t="shared" si="42"/>
        <v>1</v>
      </c>
      <c r="DM15" s="5">
        <f t="shared" si="43"/>
        <v>0</v>
      </c>
      <c r="DN15" s="5">
        <f t="shared" si="4"/>
        <v>0</v>
      </c>
      <c r="DO15" s="5">
        <f t="shared" si="44"/>
        <v>0</v>
      </c>
      <c r="DP15" s="5">
        <f t="shared" si="45"/>
        <v>1</v>
      </c>
      <c r="DQ15" s="5">
        <f t="shared" si="5"/>
        <v>1</v>
      </c>
      <c r="DR15" s="5">
        <f t="shared" si="6"/>
        <v>2</v>
      </c>
      <c r="DS15" s="5">
        <f t="shared" si="46"/>
        <v>1</v>
      </c>
      <c r="DT15" s="5">
        <f t="shared" si="7"/>
        <v>1</v>
      </c>
      <c r="DU15" s="5">
        <f t="shared" si="47"/>
        <v>1</v>
      </c>
      <c r="DV15" s="5">
        <f t="shared" si="8"/>
        <v>1</v>
      </c>
      <c r="DW15" s="5">
        <f t="shared" si="48"/>
        <v>1</v>
      </c>
      <c r="DX15" s="5">
        <f t="shared" si="9"/>
        <v>0</v>
      </c>
      <c r="DY15" s="5">
        <f t="shared" si="49"/>
        <v>0</v>
      </c>
      <c r="DZ15" s="5">
        <f t="shared" si="10"/>
        <v>1</v>
      </c>
      <c r="EA15" s="5">
        <f t="shared" si="50"/>
        <v>0</v>
      </c>
      <c r="EB15" s="5">
        <f t="shared" si="11"/>
        <v>0</v>
      </c>
      <c r="EC15" s="5">
        <f t="shared" si="12"/>
        <v>1</v>
      </c>
      <c r="ED15" s="5">
        <f t="shared" si="13"/>
        <v>1</v>
      </c>
      <c r="EE15" s="5">
        <f t="shared" si="51"/>
        <v>1</v>
      </c>
      <c r="EF15" s="5">
        <f t="shared" si="14"/>
        <v>1</v>
      </c>
      <c r="EG15" s="5">
        <f t="shared" si="15"/>
        <v>1</v>
      </c>
      <c r="EH15" s="5">
        <f t="shared" si="52"/>
        <v>0</v>
      </c>
      <c r="EI15" s="5">
        <f t="shared" si="53"/>
        <v>1</v>
      </c>
      <c r="EJ15" s="5">
        <f t="shared" si="16"/>
        <v>1</v>
      </c>
      <c r="EK15" s="5">
        <f t="shared" si="17"/>
        <v>0</v>
      </c>
      <c r="EL15" s="5">
        <f t="shared" si="54"/>
        <v>0</v>
      </c>
      <c r="EM15" s="5">
        <f t="shared" si="18"/>
        <v>0</v>
      </c>
      <c r="EN15" s="5">
        <f t="shared" si="19"/>
        <v>1</v>
      </c>
      <c r="EO15" s="5">
        <f t="shared" si="20"/>
        <v>1</v>
      </c>
      <c r="EP15" s="5">
        <f t="shared" si="21"/>
        <v>0</v>
      </c>
      <c r="EQ15" s="5">
        <f t="shared" si="55"/>
        <v>1</v>
      </c>
      <c r="ER15" s="5">
        <f t="shared" si="22"/>
        <v>1</v>
      </c>
      <c r="ES15" s="5">
        <f t="shared" si="23"/>
        <v>1</v>
      </c>
      <c r="ET15" s="5">
        <f t="shared" si="24"/>
        <v>1</v>
      </c>
      <c r="EU15" s="5">
        <f t="shared" si="56"/>
        <v>0</v>
      </c>
      <c r="EV15" s="5">
        <f t="shared" si="57"/>
        <v>0</v>
      </c>
      <c r="EW15" s="5">
        <f t="shared" si="58"/>
        <v>0</v>
      </c>
      <c r="EX15" s="5">
        <f t="shared" si="25"/>
        <v>1</v>
      </c>
      <c r="EY15" s="5">
        <f t="shared" si="26"/>
        <v>1</v>
      </c>
      <c r="EZ15" s="5">
        <f t="shared" si="27"/>
        <v>0</v>
      </c>
      <c r="FA15" s="5">
        <f t="shared" si="28"/>
        <v>1</v>
      </c>
      <c r="FB15" s="5">
        <f t="shared" si="29"/>
        <v>0</v>
      </c>
      <c r="FC15" s="5">
        <f t="shared" si="30"/>
        <v>0</v>
      </c>
      <c r="FD15" s="5">
        <f t="shared" si="31"/>
        <v>0</v>
      </c>
      <c r="FE15" s="5">
        <f t="shared" si="32"/>
        <v>0</v>
      </c>
      <c r="FF15" s="5">
        <f t="shared" si="33"/>
        <v>1</v>
      </c>
      <c r="FG15" s="5">
        <f t="shared" si="34"/>
        <v>1</v>
      </c>
      <c r="FH15" s="5">
        <f t="shared" si="35"/>
        <v>1</v>
      </c>
      <c r="FI15" s="5">
        <f t="shared" si="36"/>
        <v>0</v>
      </c>
      <c r="FJ15" s="5">
        <f t="shared" si="59"/>
        <v>1</v>
      </c>
      <c r="FK15" s="5">
        <f t="shared" si="37"/>
        <v>0</v>
      </c>
      <c r="FL15" s="5">
        <f t="shared" si="38"/>
        <v>1</v>
      </c>
      <c r="FM15" s="5">
        <f t="shared" si="60"/>
        <v>1</v>
      </c>
      <c r="FN15" s="5">
        <f t="shared" si="39"/>
        <v>1</v>
      </c>
      <c r="FO15" s="5">
        <f t="shared" si="40"/>
        <v>0</v>
      </c>
    </row>
    <row r="16" spans="2:171" s="8" customFormat="1" ht="25.5" customHeight="1">
      <c r="B16" s="22"/>
      <c r="C16" s="13"/>
      <c r="D16" s="31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66"/>
      <c r="DJ16" s="64"/>
      <c r="DK16" s="5">
        <f t="shared" si="41"/>
        <v>0</v>
      </c>
      <c r="DL16" s="5">
        <f t="shared" si="42"/>
        <v>0</v>
      </c>
      <c r="DM16" s="5">
        <f t="shared" si="43"/>
        <v>0</v>
      </c>
      <c r="DN16" s="5">
        <f t="shared" si="4"/>
        <v>0</v>
      </c>
      <c r="DO16" s="5">
        <f t="shared" si="44"/>
        <v>0</v>
      </c>
      <c r="DP16" s="5">
        <f t="shared" si="45"/>
        <v>0</v>
      </c>
      <c r="DQ16" s="5">
        <f t="shared" si="5"/>
        <v>0</v>
      </c>
      <c r="DR16" s="5">
        <f t="shared" si="6"/>
        <v>0</v>
      </c>
      <c r="DS16" s="5">
        <f t="shared" si="46"/>
        <v>0</v>
      </c>
      <c r="DT16" s="5">
        <f t="shared" si="7"/>
        <v>0</v>
      </c>
      <c r="DU16" s="5">
        <f t="shared" si="47"/>
        <v>0</v>
      </c>
      <c r="DV16" s="5">
        <f t="shared" si="8"/>
        <v>0</v>
      </c>
      <c r="DW16" s="5">
        <f t="shared" si="48"/>
        <v>0</v>
      </c>
      <c r="DX16" s="5">
        <f t="shared" si="9"/>
        <v>0</v>
      </c>
      <c r="DY16" s="5">
        <f t="shared" si="49"/>
        <v>0</v>
      </c>
      <c r="DZ16" s="5">
        <f t="shared" si="10"/>
        <v>0</v>
      </c>
      <c r="EA16" s="5">
        <f t="shared" si="50"/>
        <v>0</v>
      </c>
      <c r="EB16" s="5">
        <f t="shared" si="11"/>
        <v>0</v>
      </c>
      <c r="EC16" s="5">
        <f t="shared" si="12"/>
        <v>0</v>
      </c>
      <c r="ED16" s="5">
        <f t="shared" si="13"/>
        <v>0</v>
      </c>
      <c r="EE16" s="5">
        <f t="shared" si="51"/>
        <v>0</v>
      </c>
      <c r="EF16" s="5">
        <f t="shared" si="14"/>
        <v>0</v>
      </c>
      <c r="EG16" s="5">
        <f t="shared" si="15"/>
        <v>0</v>
      </c>
      <c r="EH16" s="5">
        <f t="shared" si="52"/>
        <v>0</v>
      </c>
      <c r="EI16" s="5">
        <f t="shared" si="53"/>
        <v>0</v>
      </c>
      <c r="EJ16" s="5">
        <f t="shared" si="16"/>
        <v>0</v>
      </c>
      <c r="EK16" s="5">
        <f t="shared" si="17"/>
        <v>0</v>
      </c>
      <c r="EL16" s="5">
        <f t="shared" si="54"/>
        <v>0</v>
      </c>
      <c r="EM16" s="5">
        <f t="shared" si="18"/>
        <v>0</v>
      </c>
      <c r="EN16" s="5">
        <f t="shared" si="19"/>
        <v>0</v>
      </c>
      <c r="EO16" s="5">
        <f t="shared" si="20"/>
        <v>0</v>
      </c>
      <c r="EP16" s="5">
        <f t="shared" si="21"/>
        <v>0</v>
      </c>
      <c r="EQ16" s="5">
        <f t="shared" si="55"/>
        <v>0</v>
      </c>
      <c r="ER16" s="5">
        <f t="shared" si="22"/>
        <v>0</v>
      </c>
      <c r="ES16" s="5">
        <f t="shared" si="23"/>
        <v>0</v>
      </c>
      <c r="ET16" s="5">
        <f t="shared" si="24"/>
        <v>0</v>
      </c>
      <c r="EU16" s="5">
        <f t="shared" si="56"/>
        <v>0</v>
      </c>
      <c r="EV16" s="5">
        <f t="shared" si="57"/>
        <v>0</v>
      </c>
      <c r="EW16" s="5">
        <f t="shared" si="58"/>
        <v>0</v>
      </c>
      <c r="EX16" s="5">
        <f t="shared" si="25"/>
        <v>0</v>
      </c>
      <c r="EY16" s="5">
        <f t="shared" si="26"/>
        <v>0</v>
      </c>
      <c r="EZ16" s="5">
        <f t="shared" si="27"/>
        <v>0</v>
      </c>
      <c r="FA16" s="5">
        <f t="shared" si="28"/>
        <v>0</v>
      </c>
      <c r="FB16" s="5">
        <f t="shared" si="29"/>
        <v>0</v>
      </c>
      <c r="FC16" s="5">
        <f t="shared" si="30"/>
        <v>0</v>
      </c>
      <c r="FD16" s="5">
        <f t="shared" si="31"/>
        <v>0</v>
      </c>
      <c r="FE16" s="5">
        <f t="shared" si="32"/>
        <v>0</v>
      </c>
      <c r="FF16" s="5">
        <f t="shared" si="33"/>
        <v>0</v>
      </c>
      <c r="FG16" s="5">
        <f t="shared" si="34"/>
        <v>0</v>
      </c>
      <c r="FH16" s="5">
        <f t="shared" si="35"/>
        <v>0</v>
      </c>
      <c r="FI16" s="5">
        <f t="shared" si="36"/>
        <v>0</v>
      </c>
      <c r="FJ16" s="5">
        <f t="shared" si="59"/>
        <v>0</v>
      </c>
      <c r="FK16" s="5">
        <f t="shared" si="37"/>
        <v>0</v>
      </c>
      <c r="FL16" s="5">
        <f t="shared" si="38"/>
        <v>0</v>
      </c>
      <c r="FM16" s="5">
        <f t="shared" si="60"/>
        <v>0</v>
      </c>
      <c r="FN16" s="5">
        <f t="shared" si="39"/>
        <v>0</v>
      </c>
      <c r="FO16" s="5">
        <f t="shared" si="40"/>
        <v>0</v>
      </c>
    </row>
    <row r="17" spans="1:171" ht="25.5" customHeight="1">
      <c r="B17" s="95" t="s">
        <v>180</v>
      </c>
      <c r="C17" s="12" t="s">
        <v>101</v>
      </c>
      <c r="D17" s="30">
        <v>1</v>
      </c>
      <c r="E17" s="51" t="s">
        <v>130</v>
      </c>
      <c r="F17" s="51" t="s">
        <v>153</v>
      </c>
      <c r="G17" s="51"/>
      <c r="H17" s="51" t="s">
        <v>134</v>
      </c>
      <c r="I17" s="51" t="s">
        <v>111</v>
      </c>
      <c r="J17" s="51"/>
      <c r="K17" s="51" t="s">
        <v>148</v>
      </c>
      <c r="L17" s="51" t="s">
        <v>161</v>
      </c>
      <c r="M17" s="51"/>
      <c r="N17" s="42" t="s">
        <v>122</v>
      </c>
      <c r="O17" s="42" t="s">
        <v>64</v>
      </c>
      <c r="P17" s="42"/>
      <c r="Q17" s="42" t="s">
        <v>122</v>
      </c>
      <c r="R17" s="42" t="s">
        <v>99</v>
      </c>
      <c r="S17" s="42"/>
      <c r="T17" s="42" t="s">
        <v>124</v>
      </c>
      <c r="U17" s="42" t="s">
        <v>105</v>
      </c>
      <c r="V17" s="42"/>
      <c r="W17" s="42" t="s">
        <v>125</v>
      </c>
      <c r="X17" s="42" t="s">
        <v>81</v>
      </c>
      <c r="Y17" s="42"/>
      <c r="Z17" s="42" t="s">
        <v>126</v>
      </c>
      <c r="AA17" s="42" t="s">
        <v>108</v>
      </c>
      <c r="AB17" s="42"/>
      <c r="AC17" s="42" t="s">
        <v>127</v>
      </c>
      <c r="AD17" s="42" t="s">
        <v>128</v>
      </c>
      <c r="AE17" s="42"/>
      <c r="AF17" s="42" t="s">
        <v>143</v>
      </c>
      <c r="AG17" s="42" t="s">
        <v>76</v>
      </c>
      <c r="AH17" s="42" t="s">
        <v>53</v>
      </c>
      <c r="AI17" s="51" t="s">
        <v>148</v>
      </c>
      <c r="AJ17" s="51" t="s">
        <v>149</v>
      </c>
      <c r="AK17" s="51"/>
      <c r="AL17" s="51" t="s">
        <v>130</v>
      </c>
      <c r="AM17" s="51" t="s">
        <v>103</v>
      </c>
      <c r="AN17" s="51"/>
      <c r="AO17" s="51" t="s">
        <v>130</v>
      </c>
      <c r="AP17" s="51" t="s">
        <v>150</v>
      </c>
      <c r="AQ17" s="51"/>
      <c r="AR17" s="51" t="s">
        <v>148</v>
      </c>
      <c r="AS17" s="51" t="s">
        <v>147</v>
      </c>
      <c r="AT17" s="51"/>
      <c r="AU17" s="42" t="s">
        <v>126</v>
      </c>
      <c r="AV17" s="42" t="s">
        <v>83</v>
      </c>
      <c r="AW17" s="42"/>
      <c r="AX17" s="42" t="s">
        <v>126</v>
      </c>
      <c r="AY17" s="42" t="s">
        <v>106</v>
      </c>
      <c r="AZ17" s="42"/>
      <c r="BA17" s="50" t="s">
        <v>132</v>
      </c>
      <c r="BB17" s="50" t="s">
        <v>72</v>
      </c>
      <c r="BC17" s="50" t="s">
        <v>181</v>
      </c>
      <c r="BD17" s="42" t="s">
        <v>182</v>
      </c>
      <c r="BE17" s="42" t="s">
        <v>93</v>
      </c>
      <c r="BF17" s="42"/>
      <c r="BG17" s="42" t="s">
        <v>124</v>
      </c>
      <c r="BH17" s="42" t="s">
        <v>69</v>
      </c>
      <c r="BI17" s="42" t="s">
        <v>57</v>
      </c>
      <c r="BJ17" s="68" t="s">
        <v>122</v>
      </c>
      <c r="BK17" s="68" t="s">
        <v>94</v>
      </c>
      <c r="BL17" s="68"/>
      <c r="BM17" s="42" t="s">
        <v>137</v>
      </c>
      <c r="BN17" s="42" t="s">
        <v>139</v>
      </c>
      <c r="BO17" s="42"/>
      <c r="BP17" s="42" t="s">
        <v>183</v>
      </c>
      <c r="BQ17" s="42" t="s">
        <v>60</v>
      </c>
      <c r="BR17" s="42"/>
      <c r="BS17" s="50" t="s">
        <v>132</v>
      </c>
      <c r="BT17" s="50" t="s">
        <v>63</v>
      </c>
      <c r="BU17" s="50"/>
      <c r="BV17" s="68" t="s">
        <v>126</v>
      </c>
      <c r="BW17" s="68" t="s">
        <v>80</v>
      </c>
      <c r="BX17" s="68"/>
      <c r="BY17" s="42" t="s">
        <v>143</v>
      </c>
      <c r="BZ17" s="42" t="s">
        <v>184</v>
      </c>
      <c r="CA17" s="42" t="s">
        <v>54</v>
      </c>
      <c r="CB17" s="42" t="s">
        <v>130</v>
      </c>
      <c r="CC17" s="42" t="s">
        <v>133</v>
      </c>
      <c r="CD17" s="42" t="s">
        <v>114</v>
      </c>
      <c r="CE17" s="42" t="s">
        <v>125</v>
      </c>
      <c r="CF17" s="42" t="s">
        <v>62</v>
      </c>
      <c r="CG17" s="42"/>
      <c r="CH17" s="72" t="s">
        <v>176</v>
      </c>
      <c r="CI17" s="72" t="s">
        <v>116</v>
      </c>
      <c r="CJ17" s="72"/>
      <c r="CK17" s="50" t="s">
        <v>185</v>
      </c>
      <c r="CL17" s="50" t="s">
        <v>186</v>
      </c>
      <c r="CM17" s="50" t="s">
        <v>65</v>
      </c>
      <c r="CN17" s="68" t="s">
        <v>160</v>
      </c>
      <c r="CO17" s="68" t="s">
        <v>118</v>
      </c>
      <c r="CP17" s="68"/>
      <c r="CQ17" s="53" t="s">
        <v>130</v>
      </c>
      <c r="CR17" s="53" t="s">
        <v>187</v>
      </c>
      <c r="CS17" s="53"/>
      <c r="CT17" s="50" t="s">
        <v>127</v>
      </c>
      <c r="CU17" s="50" t="s">
        <v>151</v>
      </c>
      <c r="CV17" s="50"/>
      <c r="CW17" s="42" t="s">
        <v>143</v>
      </c>
      <c r="CX17" s="42" t="s">
        <v>188</v>
      </c>
      <c r="CY17" s="42"/>
      <c r="CZ17" s="53" t="s">
        <v>168</v>
      </c>
      <c r="DA17" s="53" t="s">
        <v>169</v>
      </c>
      <c r="DB17" s="53"/>
      <c r="DC17" s="42" t="s">
        <v>126</v>
      </c>
      <c r="DD17" s="42" t="s">
        <v>59</v>
      </c>
      <c r="DE17" s="42"/>
      <c r="DF17" s="42"/>
      <c r="DG17" s="42" t="s">
        <v>73</v>
      </c>
      <c r="DH17" s="42"/>
      <c r="DI17" s="65"/>
      <c r="DJ17" s="63" t="s">
        <v>136</v>
      </c>
      <c r="DK17" s="5">
        <f t="shared" si="41"/>
        <v>1</v>
      </c>
      <c r="DL17" s="5">
        <f t="shared" si="42"/>
        <v>1</v>
      </c>
      <c r="DM17" s="5">
        <f t="shared" si="43"/>
        <v>0</v>
      </c>
      <c r="DN17" s="5">
        <f t="shared" si="4"/>
        <v>0</v>
      </c>
      <c r="DO17" s="5">
        <f t="shared" si="44"/>
        <v>1</v>
      </c>
      <c r="DP17" s="5">
        <f t="shared" si="45"/>
        <v>0</v>
      </c>
      <c r="DQ17" s="5">
        <f t="shared" si="5"/>
        <v>1</v>
      </c>
      <c r="DR17" s="5">
        <f t="shared" si="6"/>
        <v>1</v>
      </c>
      <c r="DS17" s="5">
        <f t="shared" si="46"/>
        <v>0</v>
      </c>
      <c r="DT17" s="5">
        <f t="shared" si="7"/>
        <v>1</v>
      </c>
      <c r="DU17" s="5">
        <f t="shared" si="47"/>
        <v>1</v>
      </c>
      <c r="DV17" s="5">
        <f t="shared" si="8"/>
        <v>1</v>
      </c>
      <c r="DW17" s="5">
        <f t="shared" si="48"/>
        <v>1</v>
      </c>
      <c r="DX17" s="5">
        <f t="shared" si="9"/>
        <v>0</v>
      </c>
      <c r="DY17" s="5">
        <f t="shared" si="49"/>
        <v>0</v>
      </c>
      <c r="DZ17" s="5">
        <f t="shared" si="10"/>
        <v>0</v>
      </c>
      <c r="EA17" s="5">
        <f t="shared" si="50"/>
        <v>1</v>
      </c>
      <c r="EB17" s="5">
        <f t="shared" si="11"/>
        <v>0</v>
      </c>
      <c r="EC17" s="5">
        <f t="shared" si="12"/>
        <v>0</v>
      </c>
      <c r="ED17" s="5">
        <f t="shared" si="13"/>
        <v>1</v>
      </c>
      <c r="EE17" s="5">
        <f t="shared" si="51"/>
        <v>1</v>
      </c>
      <c r="EF17" s="5">
        <f t="shared" si="14"/>
        <v>1</v>
      </c>
      <c r="EG17" s="5">
        <f t="shared" si="15"/>
        <v>0</v>
      </c>
      <c r="EH17" s="5">
        <f t="shared" si="52"/>
        <v>0</v>
      </c>
      <c r="EI17" s="5">
        <f t="shared" si="53"/>
        <v>1</v>
      </c>
      <c r="EJ17" s="5">
        <f t="shared" si="16"/>
        <v>1</v>
      </c>
      <c r="EK17" s="5">
        <f t="shared" si="17"/>
        <v>0</v>
      </c>
      <c r="EL17" s="5">
        <f t="shared" si="54"/>
        <v>1</v>
      </c>
      <c r="EM17" s="5">
        <f t="shared" si="18"/>
        <v>0</v>
      </c>
      <c r="EN17" s="5">
        <f t="shared" si="19"/>
        <v>1</v>
      </c>
      <c r="EO17" s="5">
        <f t="shared" si="20"/>
        <v>1</v>
      </c>
      <c r="EP17" s="5">
        <f t="shared" si="21"/>
        <v>0</v>
      </c>
      <c r="EQ17" s="5">
        <f t="shared" si="55"/>
        <v>1</v>
      </c>
      <c r="ER17" s="5">
        <f t="shared" si="22"/>
        <v>1</v>
      </c>
      <c r="ES17" s="5">
        <f t="shared" si="23"/>
        <v>0</v>
      </c>
      <c r="ET17" s="5">
        <f t="shared" si="24"/>
        <v>1</v>
      </c>
      <c r="EU17" s="5">
        <f t="shared" si="56"/>
        <v>0</v>
      </c>
      <c r="EV17" s="5">
        <f t="shared" si="57"/>
        <v>0</v>
      </c>
      <c r="EW17" s="5">
        <f t="shared" si="58"/>
        <v>1</v>
      </c>
      <c r="EX17" s="5">
        <f t="shared" si="25"/>
        <v>0</v>
      </c>
      <c r="EY17" s="5">
        <f t="shared" si="26"/>
        <v>0</v>
      </c>
      <c r="EZ17" s="5">
        <f t="shared" si="27"/>
        <v>0</v>
      </c>
      <c r="FA17" s="5">
        <f t="shared" si="28"/>
        <v>0</v>
      </c>
      <c r="FB17" s="5">
        <f t="shared" si="29"/>
        <v>0</v>
      </c>
      <c r="FC17" s="5">
        <f t="shared" si="30"/>
        <v>0</v>
      </c>
      <c r="FD17" s="5">
        <f t="shared" si="31"/>
        <v>1</v>
      </c>
      <c r="FE17" s="5">
        <f t="shared" si="32"/>
        <v>1</v>
      </c>
      <c r="FF17" s="5">
        <f t="shared" si="33"/>
        <v>0</v>
      </c>
      <c r="FG17" s="5">
        <f t="shared" si="34"/>
        <v>0</v>
      </c>
      <c r="FH17" s="5">
        <f t="shared" si="35"/>
        <v>1</v>
      </c>
      <c r="FI17" s="5">
        <f t="shared" si="36"/>
        <v>0</v>
      </c>
      <c r="FJ17" s="5">
        <f t="shared" si="59"/>
        <v>1</v>
      </c>
      <c r="FK17" s="5">
        <f t="shared" si="37"/>
        <v>0</v>
      </c>
      <c r="FL17" s="5">
        <f t="shared" si="38"/>
        <v>0</v>
      </c>
      <c r="FM17" s="5">
        <f t="shared" si="60"/>
        <v>0</v>
      </c>
      <c r="FN17" s="5">
        <f t="shared" si="39"/>
        <v>0</v>
      </c>
      <c r="FO17" s="28">
        <f t="shared" si="40"/>
        <v>1</v>
      </c>
    </row>
    <row r="18" spans="1:171" ht="25.5" customHeight="1">
      <c r="B18" s="95"/>
      <c r="C18" s="12" t="s">
        <v>121</v>
      </c>
      <c r="D18" s="30">
        <v>2</v>
      </c>
      <c r="E18" s="51" t="s">
        <v>130</v>
      </c>
      <c r="F18" s="51" t="s">
        <v>153</v>
      </c>
      <c r="G18" s="51"/>
      <c r="H18" s="51" t="s">
        <v>134</v>
      </c>
      <c r="I18" s="51" t="s">
        <v>111</v>
      </c>
      <c r="J18" s="51"/>
      <c r="K18" s="51" t="s">
        <v>148</v>
      </c>
      <c r="L18" s="51" t="s">
        <v>161</v>
      </c>
      <c r="M18" s="51"/>
      <c r="N18" s="42" t="s">
        <v>122</v>
      </c>
      <c r="O18" s="42" t="s">
        <v>64</v>
      </c>
      <c r="P18" s="42"/>
      <c r="Q18" s="42" t="s">
        <v>122</v>
      </c>
      <c r="R18" s="42" t="s">
        <v>99</v>
      </c>
      <c r="S18" s="42"/>
      <c r="T18" s="42" t="s">
        <v>124</v>
      </c>
      <c r="U18" s="42" t="s">
        <v>105</v>
      </c>
      <c r="V18" s="42"/>
      <c r="W18" s="42" t="s">
        <v>125</v>
      </c>
      <c r="X18" s="42" t="s">
        <v>81</v>
      </c>
      <c r="Y18" s="42"/>
      <c r="Z18" s="42" t="s">
        <v>126</v>
      </c>
      <c r="AA18" s="42" t="s">
        <v>108</v>
      </c>
      <c r="AB18" s="42"/>
      <c r="AC18" s="42" t="s">
        <v>127</v>
      </c>
      <c r="AD18" s="42" t="s">
        <v>128</v>
      </c>
      <c r="AE18" s="42"/>
      <c r="AF18" s="42" t="s">
        <v>143</v>
      </c>
      <c r="AG18" s="42" t="s">
        <v>76</v>
      </c>
      <c r="AH18" s="42" t="s">
        <v>53</v>
      </c>
      <c r="AI18" s="51" t="s">
        <v>148</v>
      </c>
      <c r="AJ18" s="51" t="s">
        <v>149</v>
      </c>
      <c r="AK18" s="51"/>
      <c r="AL18" s="51" t="s">
        <v>130</v>
      </c>
      <c r="AM18" s="51" t="s">
        <v>103</v>
      </c>
      <c r="AN18" s="51"/>
      <c r="AO18" s="51" t="s">
        <v>130</v>
      </c>
      <c r="AP18" s="51" t="s">
        <v>150</v>
      </c>
      <c r="AQ18" s="51"/>
      <c r="AR18" s="51" t="s">
        <v>148</v>
      </c>
      <c r="AS18" s="51" t="s">
        <v>147</v>
      </c>
      <c r="AT18" s="51"/>
      <c r="AU18" s="42" t="s">
        <v>126</v>
      </c>
      <c r="AV18" s="42" t="s">
        <v>83</v>
      </c>
      <c r="AW18" s="42"/>
      <c r="AX18" s="42" t="s">
        <v>126</v>
      </c>
      <c r="AY18" s="42" t="s">
        <v>106</v>
      </c>
      <c r="AZ18" s="42"/>
      <c r="BA18" s="50" t="s">
        <v>132</v>
      </c>
      <c r="BB18" s="50" t="s">
        <v>72</v>
      </c>
      <c r="BC18" s="50" t="s">
        <v>181</v>
      </c>
      <c r="BD18" s="42" t="s">
        <v>140</v>
      </c>
      <c r="BE18" s="42" t="s">
        <v>109</v>
      </c>
      <c r="BF18" s="42"/>
      <c r="BG18" s="42" t="s">
        <v>124</v>
      </c>
      <c r="BH18" s="42" t="s">
        <v>69</v>
      </c>
      <c r="BI18" s="42" t="s">
        <v>57</v>
      </c>
      <c r="BJ18" s="68" t="s">
        <v>122</v>
      </c>
      <c r="BK18" s="68" t="s">
        <v>94</v>
      </c>
      <c r="BL18" s="68"/>
      <c r="BM18" s="42" t="s">
        <v>137</v>
      </c>
      <c r="BN18" s="42" t="s">
        <v>139</v>
      </c>
      <c r="BO18" s="42"/>
      <c r="BP18" s="50" t="s">
        <v>132</v>
      </c>
      <c r="BQ18" s="50" t="s">
        <v>63</v>
      </c>
      <c r="BR18" s="50"/>
      <c r="BS18" s="68" t="s">
        <v>126</v>
      </c>
      <c r="BT18" s="68" t="s">
        <v>80</v>
      </c>
      <c r="BU18" s="68"/>
      <c r="BV18" s="72" t="s">
        <v>130</v>
      </c>
      <c r="BW18" s="72" t="s">
        <v>61</v>
      </c>
      <c r="BX18" s="72"/>
      <c r="BY18" s="42" t="s">
        <v>143</v>
      </c>
      <c r="BZ18" s="42" t="s">
        <v>184</v>
      </c>
      <c r="CA18" s="42" t="s">
        <v>54</v>
      </c>
      <c r="CB18" s="42" t="s">
        <v>130</v>
      </c>
      <c r="CC18" s="42" t="s">
        <v>133</v>
      </c>
      <c r="CD18" s="42" t="s">
        <v>114</v>
      </c>
      <c r="CE18" s="42" t="s">
        <v>125</v>
      </c>
      <c r="CF18" s="42" t="s">
        <v>62</v>
      </c>
      <c r="CG18" s="42"/>
      <c r="CH18" s="72" t="s">
        <v>176</v>
      </c>
      <c r="CI18" s="72" t="s">
        <v>116</v>
      </c>
      <c r="CJ18" s="72"/>
      <c r="CK18" s="50" t="s">
        <v>185</v>
      </c>
      <c r="CL18" s="50" t="s">
        <v>186</v>
      </c>
      <c r="CM18" s="50" t="s">
        <v>65</v>
      </c>
      <c r="CN18" s="68" t="s">
        <v>160</v>
      </c>
      <c r="CO18" s="68" t="s">
        <v>118</v>
      </c>
      <c r="CP18" s="68"/>
      <c r="CQ18" s="53" t="s">
        <v>130</v>
      </c>
      <c r="CR18" s="53" t="s">
        <v>187</v>
      </c>
      <c r="CS18" s="53"/>
      <c r="CT18" s="50" t="s">
        <v>127</v>
      </c>
      <c r="CU18" s="50" t="s">
        <v>151</v>
      </c>
      <c r="CV18" s="50"/>
      <c r="CW18" s="42" t="s">
        <v>143</v>
      </c>
      <c r="CX18" s="42" t="s">
        <v>188</v>
      </c>
      <c r="CY18" s="42"/>
      <c r="CZ18" s="53" t="s">
        <v>168</v>
      </c>
      <c r="DA18" s="53" t="s">
        <v>169</v>
      </c>
      <c r="DB18" s="53"/>
      <c r="DC18" s="50" t="s">
        <v>144</v>
      </c>
      <c r="DD18" s="50" t="s">
        <v>58</v>
      </c>
      <c r="DE18" s="50"/>
      <c r="DF18" s="42"/>
      <c r="DG18" s="42" t="s">
        <v>73</v>
      </c>
      <c r="DH18" s="42"/>
      <c r="DI18" s="65"/>
      <c r="DJ18" s="63" t="s">
        <v>136</v>
      </c>
      <c r="DK18" s="5">
        <f t="shared" si="41"/>
        <v>1</v>
      </c>
      <c r="DL18" s="5">
        <f t="shared" si="42"/>
        <v>1</v>
      </c>
      <c r="DM18" s="5">
        <f t="shared" si="43"/>
        <v>0</v>
      </c>
      <c r="DN18" s="5">
        <f t="shared" si="4"/>
        <v>0</v>
      </c>
      <c r="DO18" s="5">
        <f t="shared" si="44"/>
        <v>1</v>
      </c>
      <c r="DP18" s="5">
        <f t="shared" si="45"/>
        <v>1</v>
      </c>
      <c r="DQ18" s="5">
        <f t="shared" si="5"/>
        <v>0</v>
      </c>
      <c r="DR18" s="5">
        <f t="shared" si="6"/>
        <v>0</v>
      </c>
      <c r="DS18" s="5">
        <f t="shared" si="46"/>
        <v>1</v>
      </c>
      <c r="DT18" s="5">
        <f t="shared" si="7"/>
        <v>1</v>
      </c>
      <c r="DU18" s="5">
        <f t="shared" si="47"/>
        <v>1</v>
      </c>
      <c r="DV18" s="5">
        <f t="shared" si="8"/>
        <v>1</v>
      </c>
      <c r="DW18" s="5">
        <f t="shared" si="48"/>
        <v>1</v>
      </c>
      <c r="DX18" s="5">
        <f t="shared" si="9"/>
        <v>0</v>
      </c>
      <c r="DY18" s="5">
        <f t="shared" si="49"/>
        <v>0</v>
      </c>
      <c r="DZ18" s="5">
        <f t="shared" si="10"/>
        <v>0</v>
      </c>
      <c r="EA18" s="5">
        <f t="shared" si="50"/>
        <v>1</v>
      </c>
      <c r="EB18" s="5">
        <f t="shared" si="11"/>
        <v>0</v>
      </c>
      <c r="EC18" s="5">
        <f t="shared" si="12"/>
        <v>0</v>
      </c>
      <c r="ED18" s="5">
        <f t="shared" si="13"/>
        <v>1</v>
      </c>
      <c r="EE18" s="5">
        <f t="shared" si="51"/>
        <v>1</v>
      </c>
      <c r="EF18" s="5">
        <f t="shared" si="14"/>
        <v>1</v>
      </c>
      <c r="EG18" s="5">
        <f t="shared" si="15"/>
        <v>0</v>
      </c>
      <c r="EH18" s="5">
        <f t="shared" si="52"/>
        <v>0</v>
      </c>
      <c r="EI18" s="5">
        <f t="shared" si="53"/>
        <v>1</v>
      </c>
      <c r="EJ18" s="5">
        <f t="shared" si="16"/>
        <v>1</v>
      </c>
      <c r="EK18" s="5">
        <f t="shared" si="17"/>
        <v>0</v>
      </c>
      <c r="EL18" s="5">
        <f t="shared" si="54"/>
        <v>1</v>
      </c>
      <c r="EM18" s="5">
        <f t="shared" si="18"/>
        <v>0</v>
      </c>
      <c r="EN18" s="5">
        <f t="shared" si="19"/>
        <v>1</v>
      </c>
      <c r="EO18" s="5">
        <f t="shared" si="20"/>
        <v>1</v>
      </c>
      <c r="EP18" s="5">
        <f t="shared" si="21"/>
        <v>0</v>
      </c>
      <c r="EQ18" s="5">
        <f t="shared" si="55"/>
        <v>1</v>
      </c>
      <c r="ER18" s="5">
        <f t="shared" si="22"/>
        <v>1</v>
      </c>
      <c r="ES18" s="5">
        <f t="shared" si="23"/>
        <v>0</v>
      </c>
      <c r="ET18" s="5">
        <f t="shared" si="24"/>
        <v>0</v>
      </c>
      <c r="EU18" s="5">
        <f t="shared" si="56"/>
        <v>0</v>
      </c>
      <c r="EV18" s="5">
        <f t="shared" si="57"/>
        <v>0</v>
      </c>
      <c r="EW18" s="5">
        <f t="shared" si="58"/>
        <v>1</v>
      </c>
      <c r="EX18" s="5">
        <f t="shared" si="25"/>
        <v>0</v>
      </c>
      <c r="EY18" s="5">
        <f t="shared" si="26"/>
        <v>0</v>
      </c>
      <c r="EZ18" s="5">
        <f t="shared" si="27"/>
        <v>0</v>
      </c>
      <c r="FA18" s="5">
        <f t="shared" si="28"/>
        <v>0</v>
      </c>
      <c r="FB18" s="5">
        <f t="shared" si="29"/>
        <v>0</v>
      </c>
      <c r="FC18" s="5">
        <f t="shared" si="30"/>
        <v>0</v>
      </c>
      <c r="FD18" s="5">
        <f t="shared" si="31"/>
        <v>0</v>
      </c>
      <c r="FE18" s="5">
        <f t="shared" si="32"/>
        <v>1</v>
      </c>
      <c r="FF18" s="5">
        <f t="shared" si="33"/>
        <v>0</v>
      </c>
      <c r="FG18" s="5">
        <f t="shared" si="34"/>
        <v>0</v>
      </c>
      <c r="FH18" s="5">
        <f t="shared" si="35"/>
        <v>1</v>
      </c>
      <c r="FI18" s="5">
        <f t="shared" si="36"/>
        <v>0</v>
      </c>
      <c r="FJ18" s="5">
        <f t="shared" si="59"/>
        <v>1</v>
      </c>
      <c r="FK18" s="5">
        <f t="shared" si="37"/>
        <v>0</v>
      </c>
      <c r="FL18" s="5">
        <f t="shared" si="38"/>
        <v>0</v>
      </c>
      <c r="FM18" s="5">
        <f t="shared" si="60"/>
        <v>1</v>
      </c>
      <c r="FN18" s="5">
        <f t="shared" si="39"/>
        <v>0</v>
      </c>
      <c r="FO18" s="28">
        <f t="shared" si="40"/>
        <v>1</v>
      </c>
    </row>
    <row r="19" spans="1:171" ht="25.5" customHeight="1">
      <c r="B19" s="95"/>
      <c r="C19" s="12" t="s">
        <v>145</v>
      </c>
      <c r="D19" s="30">
        <v>3</v>
      </c>
      <c r="E19" s="42" t="s">
        <v>124</v>
      </c>
      <c r="F19" s="42" t="s">
        <v>67</v>
      </c>
      <c r="G19" s="42"/>
      <c r="H19" s="42" t="s">
        <v>122</v>
      </c>
      <c r="I19" s="42" t="s">
        <v>94</v>
      </c>
      <c r="J19" s="42"/>
      <c r="K19" s="42" t="s">
        <v>140</v>
      </c>
      <c r="L19" s="42" t="s">
        <v>109</v>
      </c>
      <c r="M19" s="42"/>
      <c r="N19" s="42" t="s">
        <v>126</v>
      </c>
      <c r="O19" s="42" t="s">
        <v>108</v>
      </c>
      <c r="P19" s="42"/>
      <c r="Q19" s="42" t="s">
        <v>124</v>
      </c>
      <c r="R19" s="42" t="s">
        <v>87</v>
      </c>
      <c r="S19" s="42"/>
      <c r="T19" s="42" t="s">
        <v>122</v>
      </c>
      <c r="U19" s="42" t="s">
        <v>93</v>
      </c>
      <c r="V19" s="42"/>
      <c r="W19" s="42" t="s">
        <v>126</v>
      </c>
      <c r="X19" s="42" t="s">
        <v>106</v>
      </c>
      <c r="Y19" s="42"/>
      <c r="Z19" s="51" t="s">
        <v>130</v>
      </c>
      <c r="AA19" s="51" t="s">
        <v>153</v>
      </c>
      <c r="AB19" s="51"/>
      <c r="AC19" s="51" t="s">
        <v>148</v>
      </c>
      <c r="AD19" s="51" t="s">
        <v>161</v>
      </c>
      <c r="AE19" s="51"/>
      <c r="AF19" s="51" t="s">
        <v>130</v>
      </c>
      <c r="AG19" s="51" t="s">
        <v>61</v>
      </c>
      <c r="AH19" s="51"/>
      <c r="AI19" s="42" t="s">
        <v>143</v>
      </c>
      <c r="AJ19" s="42" t="s">
        <v>76</v>
      </c>
      <c r="AK19" s="42" t="s">
        <v>53</v>
      </c>
      <c r="AL19" s="42" t="s">
        <v>126</v>
      </c>
      <c r="AM19" s="42" t="s">
        <v>66</v>
      </c>
      <c r="AN19" s="42"/>
      <c r="AO19" s="42" t="s">
        <v>124</v>
      </c>
      <c r="AP19" s="42" t="s">
        <v>91</v>
      </c>
      <c r="AQ19" s="42"/>
      <c r="AR19" s="42" t="s">
        <v>124</v>
      </c>
      <c r="AS19" s="42" t="s">
        <v>104</v>
      </c>
      <c r="AT19" s="42"/>
      <c r="AU19" s="51" t="s">
        <v>130</v>
      </c>
      <c r="AV19" s="51" t="s">
        <v>107</v>
      </c>
      <c r="AW19" s="51"/>
      <c r="AX19" s="51" t="s">
        <v>130</v>
      </c>
      <c r="AY19" s="51" t="s">
        <v>113</v>
      </c>
      <c r="AZ19" s="51"/>
      <c r="BA19" s="50" t="s">
        <v>163</v>
      </c>
      <c r="BB19" s="50" t="s">
        <v>65</v>
      </c>
      <c r="BC19" s="50" t="s">
        <v>181</v>
      </c>
      <c r="BD19" s="51" t="s">
        <v>189</v>
      </c>
      <c r="BE19" s="51" t="s">
        <v>149</v>
      </c>
      <c r="BF19" s="51"/>
      <c r="BG19" s="51" t="s">
        <v>141</v>
      </c>
      <c r="BH19" s="51" t="s">
        <v>150</v>
      </c>
      <c r="BI19" s="51"/>
      <c r="BJ19" s="50" t="s">
        <v>132</v>
      </c>
      <c r="BK19" s="50" t="s">
        <v>63</v>
      </c>
      <c r="BL19" s="50"/>
      <c r="BM19" s="72" t="s">
        <v>130</v>
      </c>
      <c r="BN19" s="72" t="s">
        <v>111</v>
      </c>
      <c r="BO19" s="72"/>
      <c r="BP19" s="42" t="s">
        <v>137</v>
      </c>
      <c r="BQ19" s="42" t="s">
        <v>138</v>
      </c>
      <c r="BR19" s="42" t="s">
        <v>139</v>
      </c>
      <c r="BS19" s="42" t="s">
        <v>130</v>
      </c>
      <c r="BT19" s="42" t="s">
        <v>135</v>
      </c>
      <c r="BU19" s="42"/>
      <c r="BV19" s="42" t="s">
        <v>143</v>
      </c>
      <c r="BW19" s="42" t="s">
        <v>184</v>
      </c>
      <c r="BX19" s="42" t="s">
        <v>54</v>
      </c>
      <c r="BY19" s="72" t="s">
        <v>126</v>
      </c>
      <c r="BZ19" s="72" t="s">
        <v>80</v>
      </c>
      <c r="CA19" s="42"/>
      <c r="CB19" s="42" t="s">
        <v>125</v>
      </c>
      <c r="CC19" s="42" t="s">
        <v>62</v>
      </c>
      <c r="CD19" s="42"/>
      <c r="CE19" s="72" t="s">
        <v>130</v>
      </c>
      <c r="CF19" s="72" t="s">
        <v>133</v>
      </c>
      <c r="CG19" s="72" t="s">
        <v>115</v>
      </c>
      <c r="CH19" s="42" t="s">
        <v>190</v>
      </c>
      <c r="CI19" s="42" t="s">
        <v>118</v>
      </c>
      <c r="CJ19" s="42"/>
      <c r="CK19" s="50" t="s">
        <v>131</v>
      </c>
      <c r="CL19" s="50" t="s">
        <v>70</v>
      </c>
      <c r="CM19" s="50"/>
      <c r="CN19" s="50" t="s">
        <v>191</v>
      </c>
      <c r="CO19" s="50" t="s">
        <v>186</v>
      </c>
      <c r="CP19" s="42"/>
      <c r="CQ19" s="50" t="s">
        <v>144</v>
      </c>
      <c r="CR19" s="50" t="s">
        <v>58</v>
      </c>
      <c r="CS19" s="50"/>
      <c r="CT19" s="53" t="s">
        <v>130</v>
      </c>
      <c r="CU19" s="53" t="s">
        <v>187</v>
      </c>
      <c r="CV19" s="53"/>
      <c r="CW19" s="50" t="s">
        <v>127</v>
      </c>
      <c r="CX19" s="50" t="s">
        <v>151</v>
      </c>
      <c r="CY19" s="50"/>
      <c r="CZ19" s="42" t="s">
        <v>143</v>
      </c>
      <c r="DA19" s="42" t="s">
        <v>188</v>
      </c>
      <c r="DB19" s="42"/>
      <c r="DC19" s="53" t="s">
        <v>168</v>
      </c>
      <c r="DD19" s="53" t="s">
        <v>120</v>
      </c>
      <c r="DE19" s="53"/>
      <c r="DF19" s="42"/>
      <c r="DG19" s="42" t="s">
        <v>73</v>
      </c>
      <c r="DH19" s="42"/>
      <c r="DI19" s="65"/>
      <c r="DJ19" s="63" t="s">
        <v>136</v>
      </c>
      <c r="DK19" s="5">
        <f t="shared" si="41"/>
        <v>1</v>
      </c>
      <c r="DL19" s="5">
        <f t="shared" si="42"/>
        <v>1</v>
      </c>
      <c r="DM19" s="5">
        <f t="shared" si="43"/>
        <v>0</v>
      </c>
      <c r="DN19" s="5">
        <f t="shared" si="4"/>
        <v>0</v>
      </c>
      <c r="DO19" s="5">
        <f t="shared" si="44"/>
        <v>0</v>
      </c>
      <c r="DP19" s="5">
        <f t="shared" si="45"/>
        <v>1</v>
      </c>
      <c r="DQ19" s="5">
        <f t="shared" si="5"/>
        <v>0</v>
      </c>
      <c r="DR19" s="5">
        <f t="shared" si="6"/>
        <v>0</v>
      </c>
      <c r="DS19" s="5">
        <f t="shared" si="46"/>
        <v>1</v>
      </c>
      <c r="DT19" s="5">
        <f t="shared" si="7"/>
        <v>1</v>
      </c>
      <c r="DU19" s="5">
        <f t="shared" si="47"/>
        <v>1</v>
      </c>
      <c r="DV19" s="5">
        <f t="shared" si="8"/>
        <v>0</v>
      </c>
      <c r="DW19" s="5">
        <f t="shared" si="48"/>
        <v>1</v>
      </c>
      <c r="DX19" s="5">
        <f t="shared" si="9"/>
        <v>1</v>
      </c>
      <c r="DY19" s="5">
        <f t="shared" si="49"/>
        <v>1</v>
      </c>
      <c r="DZ19" s="5">
        <f t="shared" si="10"/>
        <v>0</v>
      </c>
      <c r="EA19" s="5">
        <f t="shared" si="50"/>
        <v>0</v>
      </c>
      <c r="EB19" s="5">
        <f t="shared" si="11"/>
        <v>1</v>
      </c>
      <c r="EC19" s="5">
        <f t="shared" si="12"/>
        <v>0</v>
      </c>
      <c r="ED19" s="5">
        <f t="shared" si="13"/>
        <v>0</v>
      </c>
      <c r="EE19" s="5">
        <f t="shared" si="51"/>
        <v>1</v>
      </c>
      <c r="EF19" s="5">
        <f t="shared" si="14"/>
        <v>1</v>
      </c>
      <c r="EG19" s="5">
        <f t="shared" si="15"/>
        <v>0</v>
      </c>
      <c r="EH19" s="5">
        <f t="shared" si="52"/>
        <v>0</v>
      </c>
      <c r="EI19" s="5">
        <f t="shared" si="53"/>
        <v>1</v>
      </c>
      <c r="EJ19" s="5">
        <f t="shared" si="16"/>
        <v>1</v>
      </c>
      <c r="EK19" s="5">
        <f t="shared" si="17"/>
        <v>0</v>
      </c>
      <c r="EL19" s="5">
        <f t="shared" si="54"/>
        <v>1</v>
      </c>
      <c r="EM19" s="5">
        <f t="shared" si="18"/>
        <v>0</v>
      </c>
      <c r="EN19" s="5">
        <f t="shared" si="19"/>
        <v>1</v>
      </c>
      <c r="EO19" s="5">
        <f t="shared" si="20"/>
        <v>0</v>
      </c>
      <c r="EP19" s="5">
        <f t="shared" si="21"/>
        <v>0</v>
      </c>
      <c r="EQ19" s="5">
        <f t="shared" si="55"/>
        <v>0</v>
      </c>
      <c r="ER19" s="5">
        <f t="shared" si="22"/>
        <v>0</v>
      </c>
      <c r="ES19" s="5">
        <f t="shared" si="23"/>
        <v>0</v>
      </c>
      <c r="ET19" s="5">
        <f t="shared" si="24"/>
        <v>0</v>
      </c>
      <c r="EU19" s="5">
        <f t="shared" si="56"/>
        <v>1</v>
      </c>
      <c r="EV19" s="5">
        <f t="shared" si="57"/>
        <v>0</v>
      </c>
      <c r="EW19" s="5">
        <f t="shared" si="58"/>
        <v>0</v>
      </c>
      <c r="EX19" s="5">
        <f t="shared" si="25"/>
        <v>1</v>
      </c>
      <c r="EY19" s="5">
        <f t="shared" si="26"/>
        <v>0</v>
      </c>
      <c r="EZ19" s="5">
        <f t="shared" si="27"/>
        <v>0</v>
      </c>
      <c r="FA19" s="5">
        <f t="shared" si="28"/>
        <v>0</v>
      </c>
      <c r="FB19" s="5">
        <f t="shared" si="29"/>
        <v>1</v>
      </c>
      <c r="FC19" s="5">
        <f t="shared" si="30"/>
        <v>0</v>
      </c>
      <c r="FD19" s="5">
        <f t="shared" si="31"/>
        <v>1</v>
      </c>
      <c r="FE19" s="5">
        <f t="shared" si="32"/>
        <v>1</v>
      </c>
      <c r="FF19" s="5">
        <f t="shared" si="33"/>
        <v>0</v>
      </c>
      <c r="FG19" s="5">
        <f t="shared" si="34"/>
        <v>0</v>
      </c>
      <c r="FH19" s="5">
        <f t="shared" si="35"/>
        <v>1</v>
      </c>
      <c r="FI19" s="5">
        <f t="shared" si="36"/>
        <v>0</v>
      </c>
      <c r="FJ19" s="5">
        <f t="shared" si="59"/>
        <v>1</v>
      </c>
      <c r="FK19" s="5">
        <f t="shared" si="37"/>
        <v>1</v>
      </c>
      <c r="FL19" s="5">
        <f t="shared" si="38"/>
        <v>0</v>
      </c>
      <c r="FM19" s="5">
        <f t="shared" si="60"/>
        <v>1</v>
      </c>
      <c r="FN19" s="5">
        <f t="shared" si="39"/>
        <v>0</v>
      </c>
      <c r="FO19" s="28">
        <f t="shared" si="40"/>
        <v>0</v>
      </c>
    </row>
    <row r="20" spans="1:171" ht="25.5" customHeight="1">
      <c r="B20" s="95"/>
      <c r="C20" s="12" t="s">
        <v>154</v>
      </c>
      <c r="D20" s="30">
        <v>4</v>
      </c>
      <c r="E20" s="42" t="s">
        <v>178</v>
      </c>
      <c r="F20" s="42" t="s">
        <v>129</v>
      </c>
      <c r="G20" s="42" t="s">
        <v>87</v>
      </c>
      <c r="H20" s="42" t="s">
        <v>178</v>
      </c>
      <c r="I20" s="42" t="s">
        <v>129</v>
      </c>
      <c r="J20" s="42" t="s">
        <v>87</v>
      </c>
      <c r="K20" s="42" t="s">
        <v>123</v>
      </c>
      <c r="L20" s="42" t="s">
        <v>88</v>
      </c>
      <c r="M20" s="42"/>
      <c r="N20" s="42" t="s">
        <v>126</v>
      </c>
      <c r="O20" s="42" t="s">
        <v>108</v>
      </c>
      <c r="P20" s="42"/>
      <c r="Q20" s="42" t="s">
        <v>192</v>
      </c>
      <c r="R20" s="42" t="s">
        <v>72</v>
      </c>
      <c r="S20" s="42"/>
      <c r="T20" s="42" t="s">
        <v>178</v>
      </c>
      <c r="U20" s="42" t="s">
        <v>84</v>
      </c>
      <c r="V20" s="42" t="s">
        <v>60</v>
      </c>
      <c r="W20" s="42" t="s">
        <v>126</v>
      </c>
      <c r="X20" s="42" t="s">
        <v>106</v>
      </c>
      <c r="Y20" s="42"/>
      <c r="Z20" s="51" t="s">
        <v>130</v>
      </c>
      <c r="AA20" s="51" t="s">
        <v>153</v>
      </c>
      <c r="AB20" s="51"/>
      <c r="AC20" s="51" t="s">
        <v>148</v>
      </c>
      <c r="AD20" s="51" t="s">
        <v>161</v>
      </c>
      <c r="AE20" s="51"/>
      <c r="AF20" s="51" t="s">
        <v>130</v>
      </c>
      <c r="AG20" s="51" t="s">
        <v>61</v>
      </c>
      <c r="AH20" s="51"/>
      <c r="AI20" s="42" t="s">
        <v>143</v>
      </c>
      <c r="AJ20" s="42" t="s">
        <v>76</v>
      </c>
      <c r="AK20" s="42" t="s">
        <v>53</v>
      </c>
      <c r="AL20" s="42" t="s">
        <v>126</v>
      </c>
      <c r="AM20" s="42" t="s">
        <v>66</v>
      </c>
      <c r="AN20" s="42"/>
      <c r="AO20" s="42" t="s">
        <v>178</v>
      </c>
      <c r="AP20" s="42" t="s">
        <v>84</v>
      </c>
      <c r="AQ20" s="42" t="s">
        <v>60</v>
      </c>
      <c r="AR20" s="42" t="s">
        <v>124</v>
      </c>
      <c r="AS20" s="42" t="s">
        <v>104</v>
      </c>
      <c r="AT20" s="42"/>
      <c r="AU20" s="51" t="s">
        <v>130</v>
      </c>
      <c r="AV20" s="51" t="s">
        <v>107</v>
      </c>
      <c r="AW20" s="51"/>
      <c r="AX20" s="51" t="s">
        <v>130</v>
      </c>
      <c r="AY20" s="51" t="s">
        <v>113</v>
      </c>
      <c r="AZ20" s="51"/>
      <c r="BA20" s="50" t="s">
        <v>163</v>
      </c>
      <c r="BB20" s="50" t="s">
        <v>65</v>
      </c>
      <c r="BC20" s="50" t="s">
        <v>181</v>
      </c>
      <c r="BD20" s="51" t="s">
        <v>189</v>
      </c>
      <c r="BE20" s="51" t="s">
        <v>149</v>
      </c>
      <c r="BF20" s="51"/>
      <c r="BG20" s="51" t="s">
        <v>141</v>
      </c>
      <c r="BH20" s="51" t="s">
        <v>150</v>
      </c>
      <c r="BI20" s="51"/>
      <c r="BJ20" s="72" t="s">
        <v>173</v>
      </c>
      <c r="BK20" s="72" t="s">
        <v>193</v>
      </c>
      <c r="BL20" s="72"/>
      <c r="BM20" s="50" t="s">
        <v>132</v>
      </c>
      <c r="BN20" s="50" t="s">
        <v>63</v>
      </c>
      <c r="BO20" s="50"/>
      <c r="BP20" s="42" t="s">
        <v>137</v>
      </c>
      <c r="BQ20" s="42" t="s">
        <v>138</v>
      </c>
      <c r="BR20" s="42" t="s">
        <v>139</v>
      </c>
      <c r="BS20" s="42" t="s">
        <v>130</v>
      </c>
      <c r="BT20" s="42" t="s">
        <v>135</v>
      </c>
      <c r="BU20" s="42"/>
      <c r="BV20" s="42" t="s">
        <v>143</v>
      </c>
      <c r="BW20" s="42" t="s">
        <v>184</v>
      </c>
      <c r="BX20" s="42" t="s">
        <v>54</v>
      </c>
      <c r="BY20" s="72" t="s">
        <v>126</v>
      </c>
      <c r="BZ20" s="72" t="s">
        <v>80</v>
      </c>
      <c r="CA20" s="42"/>
      <c r="CB20" s="42" t="s">
        <v>125</v>
      </c>
      <c r="CC20" s="42" t="s">
        <v>62</v>
      </c>
      <c r="CD20" s="42"/>
      <c r="CE20" s="72" t="s">
        <v>130</v>
      </c>
      <c r="CF20" s="72" t="s">
        <v>133</v>
      </c>
      <c r="CG20" s="72" t="s">
        <v>115</v>
      </c>
      <c r="CH20" s="72" t="s">
        <v>190</v>
      </c>
      <c r="CI20" s="72" t="s">
        <v>118</v>
      </c>
      <c r="CJ20" s="72"/>
      <c r="CK20" s="50" t="s">
        <v>131</v>
      </c>
      <c r="CL20" s="50" t="s">
        <v>70</v>
      </c>
      <c r="CM20" s="50"/>
      <c r="CN20" s="50" t="s">
        <v>191</v>
      </c>
      <c r="CO20" s="50" t="s">
        <v>186</v>
      </c>
      <c r="CP20" s="42"/>
      <c r="CQ20" s="50" t="s">
        <v>144</v>
      </c>
      <c r="CR20" s="50" t="s">
        <v>58</v>
      </c>
      <c r="CS20" s="50"/>
      <c r="CT20" s="53" t="s">
        <v>130</v>
      </c>
      <c r="CU20" s="53" t="s">
        <v>187</v>
      </c>
      <c r="CV20" s="53"/>
      <c r="CW20" s="50" t="s">
        <v>127</v>
      </c>
      <c r="CX20" s="50" t="s">
        <v>151</v>
      </c>
      <c r="CY20" s="50"/>
      <c r="CZ20" s="42" t="s">
        <v>143</v>
      </c>
      <c r="DA20" s="42" t="s">
        <v>188</v>
      </c>
      <c r="DB20" s="42"/>
      <c r="DC20" s="50" t="s">
        <v>173</v>
      </c>
      <c r="DD20" s="50" t="s">
        <v>74</v>
      </c>
      <c r="DE20" s="50"/>
      <c r="DF20" s="42"/>
      <c r="DG20" s="42" t="s">
        <v>73</v>
      </c>
      <c r="DH20" s="42"/>
      <c r="DI20" s="65"/>
      <c r="DJ20" s="63" t="s">
        <v>136</v>
      </c>
      <c r="DK20" s="5">
        <f t="shared" si="41"/>
        <v>1</v>
      </c>
      <c r="DL20" s="5">
        <f t="shared" si="42"/>
        <v>1</v>
      </c>
      <c r="DM20" s="5">
        <f t="shared" si="43"/>
        <v>0</v>
      </c>
      <c r="DN20" s="5">
        <f t="shared" si="4"/>
        <v>0</v>
      </c>
      <c r="DO20" s="5">
        <f t="shared" si="44"/>
        <v>0</v>
      </c>
      <c r="DP20" s="5">
        <f t="shared" si="45"/>
        <v>1</v>
      </c>
      <c r="DQ20" s="5">
        <f t="shared" si="5"/>
        <v>0</v>
      </c>
      <c r="DR20" s="5">
        <f t="shared" si="6"/>
        <v>2</v>
      </c>
      <c r="DS20" s="5">
        <f t="shared" si="46"/>
        <v>1</v>
      </c>
      <c r="DT20" s="5">
        <f t="shared" si="7"/>
        <v>1</v>
      </c>
      <c r="DU20" s="5">
        <f t="shared" si="47"/>
        <v>1</v>
      </c>
      <c r="DV20" s="5">
        <f t="shared" si="8"/>
        <v>0</v>
      </c>
      <c r="DW20" s="5">
        <f t="shared" si="48"/>
        <v>1</v>
      </c>
      <c r="DX20" s="5">
        <f t="shared" si="9"/>
        <v>1</v>
      </c>
      <c r="DY20" s="5">
        <f t="shared" si="49"/>
        <v>0</v>
      </c>
      <c r="DZ20" s="5">
        <f t="shared" si="10"/>
        <v>0</v>
      </c>
      <c r="EA20" s="5">
        <f t="shared" si="50"/>
        <v>0</v>
      </c>
      <c r="EB20" s="5">
        <f t="shared" si="11"/>
        <v>1</v>
      </c>
      <c r="EC20" s="5">
        <f t="shared" si="12"/>
        <v>0</v>
      </c>
      <c r="ED20" s="5">
        <f t="shared" si="13"/>
        <v>1</v>
      </c>
      <c r="EE20" s="5">
        <f t="shared" si="51"/>
        <v>1</v>
      </c>
      <c r="EF20" s="5">
        <f t="shared" si="14"/>
        <v>1</v>
      </c>
      <c r="EG20" s="5">
        <f t="shared" si="15"/>
        <v>1</v>
      </c>
      <c r="EH20" s="5">
        <f t="shared" si="52"/>
        <v>0</v>
      </c>
      <c r="EI20" s="5">
        <f t="shared" si="53"/>
        <v>1</v>
      </c>
      <c r="EJ20" s="5">
        <f t="shared" si="16"/>
        <v>1</v>
      </c>
      <c r="EK20" s="5">
        <f t="shared" si="17"/>
        <v>0</v>
      </c>
      <c r="EL20" s="5">
        <f t="shared" si="54"/>
        <v>1</v>
      </c>
      <c r="EM20" s="5">
        <f t="shared" si="18"/>
        <v>0</v>
      </c>
      <c r="EN20" s="5">
        <f t="shared" si="19"/>
        <v>1</v>
      </c>
      <c r="EO20" s="5">
        <f t="shared" si="20"/>
        <v>0</v>
      </c>
      <c r="EP20" s="5">
        <f t="shared" si="21"/>
        <v>0</v>
      </c>
      <c r="EQ20" s="5">
        <f t="shared" si="55"/>
        <v>0</v>
      </c>
      <c r="ER20" s="5">
        <f t="shared" si="22"/>
        <v>0</v>
      </c>
      <c r="ES20" s="5">
        <f t="shared" si="23"/>
        <v>2</v>
      </c>
      <c r="ET20" s="5">
        <f t="shared" si="24"/>
        <v>0</v>
      </c>
      <c r="EU20" s="5">
        <f t="shared" si="56"/>
        <v>1</v>
      </c>
      <c r="EV20" s="5">
        <f t="shared" si="57"/>
        <v>0</v>
      </c>
      <c r="EW20" s="5">
        <f t="shared" si="58"/>
        <v>0</v>
      </c>
      <c r="EX20" s="5">
        <f t="shared" si="25"/>
        <v>2</v>
      </c>
      <c r="EY20" s="5">
        <f t="shared" si="26"/>
        <v>1</v>
      </c>
      <c r="EZ20" s="5">
        <f t="shared" si="27"/>
        <v>0</v>
      </c>
      <c r="FA20" s="5">
        <f t="shared" si="28"/>
        <v>0</v>
      </c>
      <c r="FB20" s="5">
        <f t="shared" si="29"/>
        <v>0</v>
      </c>
      <c r="FC20" s="5">
        <f t="shared" si="30"/>
        <v>0</v>
      </c>
      <c r="FD20" s="5">
        <f t="shared" si="31"/>
        <v>0</v>
      </c>
      <c r="FE20" s="5">
        <f t="shared" si="32"/>
        <v>0</v>
      </c>
      <c r="FF20" s="5">
        <f t="shared" si="33"/>
        <v>0</v>
      </c>
      <c r="FG20" s="5">
        <f t="shared" si="34"/>
        <v>0</v>
      </c>
      <c r="FH20" s="5">
        <f t="shared" si="35"/>
        <v>1</v>
      </c>
      <c r="FI20" s="5">
        <f t="shared" si="36"/>
        <v>0</v>
      </c>
      <c r="FJ20" s="5">
        <f t="shared" si="59"/>
        <v>1</v>
      </c>
      <c r="FK20" s="5">
        <f t="shared" si="37"/>
        <v>1</v>
      </c>
      <c r="FL20" s="5">
        <f t="shared" si="38"/>
        <v>0</v>
      </c>
      <c r="FM20" s="5">
        <f t="shared" si="60"/>
        <v>1</v>
      </c>
      <c r="FN20" s="5">
        <f t="shared" si="39"/>
        <v>1</v>
      </c>
      <c r="FO20" s="28">
        <f t="shared" si="40"/>
        <v>0</v>
      </c>
    </row>
    <row r="21" spans="1:171" ht="25.5" customHeight="1">
      <c r="B21" s="95"/>
      <c r="C21" s="12" t="s">
        <v>158</v>
      </c>
      <c r="D21" s="30">
        <v>5</v>
      </c>
      <c r="E21" s="50" t="s">
        <v>194</v>
      </c>
      <c r="F21" s="50" t="s">
        <v>77</v>
      </c>
      <c r="G21" s="50" t="s">
        <v>60</v>
      </c>
      <c r="H21" s="50" t="s">
        <v>194</v>
      </c>
      <c r="I21" s="50" t="s">
        <v>195</v>
      </c>
      <c r="J21" s="50" t="s">
        <v>196</v>
      </c>
      <c r="K21" s="50" t="s">
        <v>194</v>
      </c>
      <c r="L21" s="50" t="s">
        <v>197</v>
      </c>
      <c r="M21" s="50" t="s">
        <v>55</v>
      </c>
      <c r="N21" s="51" t="s">
        <v>130</v>
      </c>
      <c r="O21" s="51" t="s">
        <v>113</v>
      </c>
      <c r="P21" s="51"/>
      <c r="Q21" s="51" t="s">
        <v>130</v>
      </c>
      <c r="R21" s="51" t="s">
        <v>115</v>
      </c>
      <c r="S21" s="51"/>
      <c r="T21" s="51" t="s">
        <v>130</v>
      </c>
      <c r="U21" s="51" t="s">
        <v>103</v>
      </c>
      <c r="V21" s="51"/>
      <c r="W21" s="51" t="s">
        <v>130</v>
      </c>
      <c r="X21" s="51" t="s">
        <v>107</v>
      </c>
      <c r="Y21" s="51"/>
      <c r="Z21" s="42" t="s">
        <v>125</v>
      </c>
      <c r="AA21" s="42" t="s">
        <v>81</v>
      </c>
      <c r="AB21" s="42"/>
      <c r="AC21" s="42" t="s">
        <v>122</v>
      </c>
      <c r="AD21" s="42" t="s">
        <v>70</v>
      </c>
      <c r="AE21" s="42"/>
      <c r="AF21" s="42" t="s">
        <v>124</v>
      </c>
      <c r="AG21" s="42" t="s">
        <v>91</v>
      </c>
      <c r="AH21" s="42"/>
      <c r="AI21" s="42" t="s">
        <v>124</v>
      </c>
      <c r="AJ21" s="42" t="s">
        <v>57</v>
      </c>
      <c r="AK21" s="42"/>
      <c r="AL21" s="42" t="s">
        <v>125</v>
      </c>
      <c r="AM21" s="42" t="s">
        <v>62</v>
      </c>
      <c r="AN21" s="42"/>
      <c r="AO21" s="42" t="s">
        <v>122</v>
      </c>
      <c r="AP21" s="42" t="s">
        <v>95</v>
      </c>
      <c r="AQ21" s="42"/>
      <c r="AR21" s="42" t="s">
        <v>126</v>
      </c>
      <c r="AS21" s="42" t="s">
        <v>108</v>
      </c>
      <c r="AT21" s="42"/>
      <c r="AU21" s="71" t="s">
        <v>131</v>
      </c>
      <c r="AV21" s="71" t="s">
        <v>71</v>
      </c>
      <c r="AW21" s="71" t="s">
        <v>198</v>
      </c>
      <c r="AX21" s="42" t="s">
        <v>124</v>
      </c>
      <c r="AY21" s="42" t="s">
        <v>97</v>
      </c>
      <c r="AZ21" s="42"/>
      <c r="BA21" s="51" t="s">
        <v>160</v>
      </c>
      <c r="BB21" s="51" t="s">
        <v>161</v>
      </c>
      <c r="BC21" s="51"/>
      <c r="BD21" s="50" t="s">
        <v>199</v>
      </c>
      <c r="BE21" s="50" t="s">
        <v>186</v>
      </c>
      <c r="BF21" s="42"/>
      <c r="BG21" s="42" t="s">
        <v>126</v>
      </c>
      <c r="BH21" s="42" t="s">
        <v>66</v>
      </c>
      <c r="BI21" s="42"/>
      <c r="BJ21" s="42" t="s">
        <v>137</v>
      </c>
      <c r="BK21" s="42" t="s">
        <v>138</v>
      </c>
      <c r="BL21" s="42" t="s">
        <v>139</v>
      </c>
      <c r="BM21" s="72" t="s">
        <v>200</v>
      </c>
      <c r="BN21" s="72" t="s">
        <v>149</v>
      </c>
      <c r="BO21" s="72"/>
      <c r="BP21" s="42" t="s">
        <v>122</v>
      </c>
      <c r="BQ21" s="42" t="s">
        <v>93</v>
      </c>
      <c r="BR21" s="42"/>
      <c r="BS21" s="42" t="s">
        <v>143</v>
      </c>
      <c r="BT21" s="42" t="s">
        <v>184</v>
      </c>
      <c r="BU21" s="42" t="s">
        <v>54</v>
      </c>
      <c r="BV21" s="42" t="s">
        <v>130</v>
      </c>
      <c r="BW21" s="42" t="s">
        <v>133</v>
      </c>
      <c r="BX21" s="42" t="s">
        <v>61</v>
      </c>
      <c r="BY21" s="42" t="s">
        <v>200</v>
      </c>
      <c r="BZ21" s="42" t="s">
        <v>166</v>
      </c>
      <c r="CA21" s="42"/>
      <c r="CB21" s="54" t="s">
        <v>124</v>
      </c>
      <c r="CC21" s="54" t="s">
        <v>67</v>
      </c>
      <c r="CD21" s="54"/>
      <c r="CE21" s="42" t="s">
        <v>159</v>
      </c>
      <c r="CF21" s="42" t="s">
        <v>68</v>
      </c>
      <c r="CG21" s="42"/>
      <c r="CH21" s="71" t="s">
        <v>163</v>
      </c>
      <c r="CI21" s="71" t="s">
        <v>65</v>
      </c>
      <c r="CJ21" s="71" t="s">
        <v>198</v>
      </c>
      <c r="CK21" s="42" t="s">
        <v>160</v>
      </c>
      <c r="CL21" s="42" t="s">
        <v>153</v>
      </c>
      <c r="CM21" s="42"/>
      <c r="CN21" s="42" t="s">
        <v>124</v>
      </c>
      <c r="CO21" s="42" t="s">
        <v>105</v>
      </c>
      <c r="CP21" s="42"/>
      <c r="CQ21" s="42" t="s">
        <v>143</v>
      </c>
      <c r="CR21" s="42" t="s">
        <v>188</v>
      </c>
      <c r="CS21" s="42"/>
      <c r="CT21" s="42" t="s">
        <v>124</v>
      </c>
      <c r="CU21" s="42" t="s">
        <v>90</v>
      </c>
      <c r="CV21" s="42"/>
      <c r="CW21" s="53" t="s">
        <v>148</v>
      </c>
      <c r="CX21" s="53" t="s">
        <v>187</v>
      </c>
      <c r="CY21" s="53"/>
      <c r="CZ21" s="50" t="s">
        <v>127</v>
      </c>
      <c r="DA21" s="50" t="s">
        <v>151</v>
      </c>
      <c r="DB21" s="50"/>
      <c r="DC21" s="53" t="s">
        <v>168</v>
      </c>
      <c r="DD21" s="53" t="s">
        <v>120</v>
      </c>
      <c r="DE21" s="42"/>
      <c r="DF21" s="42"/>
      <c r="DG21" s="42" t="s">
        <v>73</v>
      </c>
      <c r="DH21" s="42" t="s">
        <v>87</v>
      </c>
      <c r="DI21" s="65" t="s">
        <v>84</v>
      </c>
      <c r="DJ21" s="63" t="s">
        <v>136</v>
      </c>
      <c r="DK21" s="5">
        <f t="shared" si="41"/>
        <v>0</v>
      </c>
      <c r="DL21" s="5">
        <f t="shared" si="42"/>
        <v>1</v>
      </c>
      <c r="DM21" s="5">
        <f t="shared" si="43"/>
        <v>1</v>
      </c>
      <c r="DN21" s="5">
        <f t="shared" si="4"/>
        <v>0</v>
      </c>
      <c r="DO21" s="5">
        <f t="shared" si="44"/>
        <v>1</v>
      </c>
      <c r="DP21" s="5">
        <f t="shared" si="45"/>
        <v>0</v>
      </c>
      <c r="DQ21" s="5">
        <f t="shared" si="5"/>
        <v>0</v>
      </c>
      <c r="DR21" s="5">
        <f t="shared" si="6"/>
        <v>1</v>
      </c>
      <c r="DS21" s="5">
        <f t="shared" si="46"/>
        <v>1</v>
      </c>
      <c r="DT21" s="5">
        <f t="shared" si="7"/>
        <v>1</v>
      </c>
      <c r="DU21" s="5">
        <f t="shared" si="47"/>
        <v>0</v>
      </c>
      <c r="DV21" s="5">
        <f t="shared" si="8"/>
        <v>0</v>
      </c>
      <c r="DW21" s="5">
        <f t="shared" si="48"/>
        <v>1</v>
      </c>
      <c r="DX21" s="5">
        <f t="shared" si="9"/>
        <v>1</v>
      </c>
      <c r="DY21" s="5">
        <f t="shared" si="49"/>
        <v>1</v>
      </c>
      <c r="DZ21" s="5">
        <f t="shared" si="10"/>
        <v>1</v>
      </c>
      <c r="EA21" s="5">
        <f t="shared" si="50"/>
        <v>0</v>
      </c>
      <c r="EB21" s="5">
        <f t="shared" si="11"/>
        <v>1</v>
      </c>
      <c r="EC21" s="5">
        <f t="shared" si="12"/>
        <v>1</v>
      </c>
      <c r="ED21" s="5">
        <f t="shared" si="13"/>
        <v>0</v>
      </c>
      <c r="EE21" s="5">
        <f t="shared" si="51"/>
        <v>1</v>
      </c>
      <c r="EF21" s="5">
        <f t="shared" si="14"/>
        <v>0</v>
      </c>
      <c r="EG21" s="5">
        <f t="shared" si="15"/>
        <v>0</v>
      </c>
      <c r="EH21" s="5">
        <f t="shared" si="52"/>
        <v>0</v>
      </c>
      <c r="EI21" s="5">
        <f t="shared" si="53"/>
        <v>0</v>
      </c>
      <c r="EJ21" s="5">
        <f t="shared" si="16"/>
        <v>0</v>
      </c>
      <c r="EK21" s="5">
        <f t="shared" si="17"/>
        <v>1</v>
      </c>
      <c r="EL21" s="5">
        <f t="shared" si="54"/>
        <v>1</v>
      </c>
      <c r="EM21" s="5">
        <f t="shared" si="18"/>
        <v>0</v>
      </c>
      <c r="EN21" s="5">
        <f t="shared" si="19"/>
        <v>0</v>
      </c>
      <c r="EO21" s="5">
        <f t="shared" si="20"/>
        <v>1</v>
      </c>
      <c r="EP21" s="5">
        <f t="shared" si="21"/>
        <v>1</v>
      </c>
      <c r="EQ21" s="5">
        <f t="shared" si="55"/>
        <v>0</v>
      </c>
      <c r="ER21" s="5">
        <f t="shared" si="22"/>
        <v>0</v>
      </c>
      <c r="ES21" s="5">
        <f t="shared" si="23"/>
        <v>1</v>
      </c>
      <c r="ET21" s="5">
        <f t="shared" si="24"/>
        <v>0</v>
      </c>
      <c r="EU21" s="5">
        <f t="shared" si="56"/>
        <v>1</v>
      </c>
      <c r="EV21" s="5">
        <f t="shared" si="57"/>
        <v>0</v>
      </c>
      <c r="EW21" s="5">
        <f t="shared" si="58"/>
        <v>1</v>
      </c>
      <c r="EX21" s="5">
        <f t="shared" si="25"/>
        <v>1</v>
      </c>
      <c r="EY21" s="5">
        <f t="shared" si="26"/>
        <v>0</v>
      </c>
      <c r="EZ21" s="5">
        <f t="shared" si="27"/>
        <v>0</v>
      </c>
      <c r="FA21" s="5">
        <f t="shared" si="28"/>
        <v>1</v>
      </c>
      <c r="FB21" s="5">
        <f t="shared" si="29"/>
        <v>1</v>
      </c>
      <c r="FC21" s="5">
        <f t="shared" si="30"/>
        <v>0</v>
      </c>
      <c r="FD21" s="5">
        <f t="shared" si="31"/>
        <v>1</v>
      </c>
      <c r="FE21" s="5">
        <f t="shared" si="32"/>
        <v>0</v>
      </c>
      <c r="FF21" s="5">
        <f t="shared" si="33"/>
        <v>1</v>
      </c>
      <c r="FG21" s="5">
        <f t="shared" si="34"/>
        <v>1</v>
      </c>
      <c r="FH21" s="5">
        <f t="shared" si="35"/>
        <v>1</v>
      </c>
      <c r="FI21" s="5">
        <f t="shared" si="36"/>
        <v>0</v>
      </c>
      <c r="FJ21" s="5">
        <f t="shared" si="59"/>
        <v>1</v>
      </c>
      <c r="FK21" s="5">
        <f t="shared" si="37"/>
        <v>1</v>
      </c>
      <c r="FL21" s="5">
        <f t="shared" si="38"/>
        <v>1</v>
      </c>
      <c r="FM21" s="5">
        <f t="shared" si="60"/>
        <v>0</v>
      </c>
      <c r="FN21" s="5">
        <f t="shared" si="39"/>
        <v>0</v>
      </c>
      <c r="FO21" s="5">
        <f t="shared" si="40"/>
        <v>0</v>
      </c>
    </row>
    <row r="22" spans="1:171" ht="25.5" customHeight="1">
      <c r="B22" s="95"/>
      <c r="C22" s="12" t="s">
        <v>172</v>
      </c>
      <c r="D22" s="30">
        <v>6</v>
      </c>
      <c r="E22" s="50" t="s">
        <v>194</v>
      </c>
      <c r="F22" s="50" t="s">
        <v>77</v>
      </c>
      <c r="G22" s="50" t="s">
        <v>60</v>
      </c>
      <c r="H22" s="50" t="s">
        <v>194</v>
      </c>
      <c r="I22" s="50" t="s">
        <v>195</v>
      </c>
      <c r="J22" s="50" t="s">
        <v>196</v>
      </c>
      <c r="K22" s="50" t="s">
        <v>194</v>
      </c>
      <c r="L22" s="50" t="s">
        <v>197</v>
      </c>
      <c r="M22" s="50" t="s">
        <v>55</v>
      </c>
      <c r="N22" s="51" t="s">
        <v>130</v>
      </c>
      <c r="O22" s="51" t="s">
        <v>113</v>
      </c>
      <c r="P22" s="51"/>
      <c r="Q22" s="51" t="s">
        <v>130</v>
      </c>
      <c r="R22" s="51" t="s">
        <v>115</v>
      </c>
      <c r="S22" s="51"/>
      <c r="T22" s="51" t="s">
        <v>130</v>
      </c>
      <c r="U22" s="51" t="s">
        <v>103</v>
      </c>
      <c r="V22" s="51"/>
      <c r="W22" s="51" t="s">
        <v>130</v>
      </c>
      <c r="X22" s="51" t="s">
        <v>107</v>
      </c>
      <c r="Y22" s="51"/>
      <c r="Z22" s="42" t="s">
        <v>125</v>
      </c>
      <c r="AA22" s="42" t="s">
        <v>81</v>
      </c>
      <c r="AB22" s="42"/>
      <c r="AC22" s="42" t="s">
        <v>122</v>
      </c>
      <c r="AD22" s="42" t="s">
        <v>70</v>
      </c>
      <c r="AE22" s="42"/>
      <c r="AF22" s="42" t="s">
        <v>122</v>
      </c>
      <c r="AG22" s="42" t="s">
        <v>64</v>
      </c>
      <c r="AH22" s="42"/>
      <c r="AI22" s="42" t="s">
        <v>124</v>
      </c>
      <c r="AJ22" s="42" t="s">
        <v>57</v>
      </c>
      <c r="AK22" s="42"/>
      <c r="AL22" s="42" t="s">
        <v>125</v>
      </c>
      <c r="AM22" s="42" t="s">
        <v>62</v>
      </c>
      <c r="AN22" s="42"/>
      <c r="AO22" s="42" t="s">
        <v>122</v>
      </c>
      <c r="AP22" s="42" t="s">
        <v>95</v>
      </c>
      <c r="AQ22" s="42"/>
      <c r="AR22" s="42" t="s">
        <v>126</v>
      </c>
      <c r="AS22" s="42" t="s">
        <v>108</v>
      </c>
      <c r="AT22" s="42"/>
      <c r="AU22" s="71" t="s">
        <v>131</v>
      </c>
      <c r="AV22" s="71" t="s">
        <v>71</v>
      </c>
      <c r="AW22" s="71" t="s">
        <v>198</v>
      </c>
      <c r="AX22" s="42" t="s">
        <v>124</v>
      </c>
      <c r="AY22" s="42" t="s">
        <v>97</v>
      </c>
      <c r="AZ22" s="42"/>
      <c r="BA22" s="51" t="s">
        <v>160</v>
      </c>
      <c r="BB22" s="51" t="s">
        <v>161</v>
      </c>
      <c r="BC22" s="51"/>
      <c r="BD22" s="50" t="s">
        <v>199</v>
      </c>
      <c r="BE22" s="50" t="s">
        <v>186</v>
      </c>
      <c r="BF22" s="42"/>
      <c r="BG22" s="42" t="s">
        <v>126</v>
      </c>
      <c r="BH22" s="42" t="s">
        <v>66</v>
      </c>
      <c r="BI22" s="42"/>
      <c r="BJ22" s="74" t="s">
        <v>126</v>
      </c>
      <c r="BK22" s="74" t="s">
        <v>80</v>
      </c>
      <c r="BL22" s="74"/>
      <c r="BM22" s="72" t="s">
        <v>200</v>
      </c>
      <c r="BN22" s="72" t="s">
        <v>149</v>
      </c>
      <c r="BO22" s="72"/>
      <c r="BP22" s="42" t="s">
        <v>130</v>
      </c>
      <c r="BQ22" s="42" t="s">
        <v>135</v>
      </c>
      <c r="BR22" s="42"/>
      <c r="BS22" s="42" t="s">
        <v>143</v>
      </c>
      <c r="BT22" s="42" t="s">
        <v>184</v>
      </c>
      <c r="BU22" s="42" t="s">
        <v>54</v>
      </c>
      <c r="BV22" s="42" t="s">
        <v>130</v>
      </c>
      <c r="BW22" s="42" t="s">
        <v>133</v>
      </c>
      <c r="BX22" s="42" t="s">
        <v>61</v>
      </c>
      <c r="BY22" s="42" t="s">
        <v>200</v>
      </c>
      <c r="BZ22" s="42" t="s">
        <v>166</v>
      </c>
      <c r="CA22" s="42"/>
      <c r="CB22" s="54" t="s">
        <v>124</v>
      </c>
      <c r="CC22" s="54" t="s">
        <v>67</v>
      </c>
      <c r="CD22" s="54"/>
      <c r="CE22" s="42" t="s">
        <v>137</v>
      </c>
      <c r="CF22" s="42" t="s">
        <v>139</v>
      </c>
      <c r="CG22" s="42"/>
      <c r="CH22" s="71" t="s">
        <v>163</v>
      </c>
      <c r="CI22" s="71" t="s">
        <v>65</v>
      </c>
      <c r="CJ22" s="71" t="s">
        <v>198</v>
      </c>
      <c r="CK22" s="54" t="s">
        <v>160</v>
      </c>
      <c r="CL22" s="54" t="s">
        <v>153</v>
      </c>
      <c r="CM22" s="54"/>
      <c r="CN22" s="42" t="s">
        <v>124</v>
      </c>
      <c r="CO22" s="42" t="s">
        <v>105</v>
      </c>
      <c r="CP22" s="42"/>
      <c r="CQ22" s="42" t="s">
        <v>143</v>
      </c>
      <c r="CR22" s="42" t="s">
        <v>188</v>
      </c>
      <c r="CS22" s="42"/>
      <c r="CT22" s="42" t="s">
        <v>124</v>
      </c>
      <c r="CU22" s="42" t="s">
        <v>90</v>
      </c>
      <c r="CV22" s="42"/>
      <c r="CW22" s="53" t="s">
        <v>148</v>
      </c>
      <c r="CX22" s="53" t="s">
        <v>187</v>
      </c>
      <c r="CY22" s="53"/>
      <c r="CZ22" s="50" t="s">
        <v>127</v>
      </c>
      <c r="DA22" s="50" t="s">
        <v>151</v>
      </c>
      <c r="DB22" s="50"/>
      <c r="DC22" s="50" t="s">
        <v>140</v>
      </c>
      <c r="DD22" s="50" t="s">
        <v>109</v>
      </c>
      <c r="DE22" s="50"/>
      <c r="DF22" s="42"/>
      <c r="DG22" s="42" t="s">
        <v>73</v>
      </c>
      <c r="DH22" s="42" t="s">
        <v>87</v>
      </c>
      <c r="DI22" s="65" t="s">
        <v>84</v>
      </c>
      <c r="DJ22" s="63" t="s">
        <v>136</v>
      </c>
      <c r="DK22" s="5">
        <f t="shared" si="41"/>
        <v>0</v>
      </c>
      <c r="DL22" s="5">
        <f t="shared" si="42"/>
        <v>1</v>
      </c>
      <c r="DM22" s="5">
        <f t="shared" si="43"/>
        <v>1</v>
      </c>
      <c r="DN22" s="5">
        <f t="shared" si="4"/>
        <v>0</v>
      </c>
      <c r="DO22" s="5">
        <f t="shared" si="44"/>
        <v>1</v>
      </c>
      <c r="DP22" s="5">
        <f t="shared" si="45"/>
        <v>0</v>
      </c>
      <c r="DQ22" s="5">
        <f t="shared" si="5"/>
        <v>0</v>
      </c>
      <c r="DR22" s="5">
        <f t="shared" si="6"/>
        <v>1</v>
      </c>
      <c r="DS22" s="5">
        <f t="shared" si="46"/>
        <v>1</v>
      </c>
      <c r="DT22" s="5">
        <f t="shared" si="7"/>
        <v>1</v>
      </c>
      <c r="DU22" s="5">
        <f t="shared" si="47"/>
        <v>0</v>
      </c>
      <c r="DV22" s="5">
        <f t="shared" si="8"/>
        <v>1</v>
      </c>
      <c r="DW22" s="5">
        <f t="shared" si="48"/>
        <v>1</v>
      </c>
      <c r="DX22" s="5">
        <f t="shared" si="9"/>
        <v>1</v>
      </c>
      <c r="DY22" s="5">
        <f t="shared" si="49"/>
        <v>1</v>
      </c>
      <c r="DZ22" s="5">
        <f t="shared" si="10"/>
        <v>0</v>
      </c>
      <c r="EA22" s="5">
        <f t="shared" si="50"/>
        <v>0</v>
      </c>
      <c r="EB22" s="5">
        <f t="shared" si="11"/>
        <v>1</v>
      </c>
      <c r="EC22" s="5">
        <f t="shared" si="12"/>
        <v>1</v>
      </c>
      <c r="ED22" s="5">
        <f t="shared" si="13"/>
        <v>0</v>
      </c>
      <c r="EE22" s="5">
        <f t="shared" si="51"/>
        <v>1</v>
      </c>
      <c r="EF22" s="5">
        <f t="shared" si="14"/>
        <v>0</v>
      </c>
      <c r="EG22" s="5">
        <f t="shared" si="15"/>
        <v>0</v>
      </c>
      <c r="EH22" s="5">
        <f t="shared" si="52"/>
        <v>0</v>
      </c>
      <c r="EI22" s="5">
        <f t="shared" si="53"/>
        <v>0</v>
      </c>
      <c r="EJ22" s="5">
        <f t="shared" si="16"/>
        <v>0</v>
      </c>
      <c r="EK22" s="5">
        <f t="shared" si="17"/>
        <v>1</v>
      </c>
      <c r="EL22" s="5">
        <f t="shared" si="54"/>
        <v>1</v>
      </c>
      <c r="EM22" s="5">
        <f t="shared" si="18"/>
        <v>0</v>
      </c>
      <c r="EN22" s="5">
        <f t="shared" si="19"/>
        <v>1</v>
      </c>
      <c r="EO22" s="5">
        <f t="shared" si="20"/>
        <v>1</v>
      </c>
      <c r="EP22" s="5">
        <f t="shared" si="21"/>
        <v>1</v>
      </c>
      <c r="EQ22" s="5">
        <f t="shared" si="55"/>
        <v>0</v>
      </c>
      <c r="ER22" s="5">
        <f t="shared" si="22"/>
        <v>0</v>
      </c>
      <c r="ES22" s="5">
        <f t="shared" si="23"/>
        <v>1</v>
      </c>
      <c r="ET22" s="5">
        <f t="shared" si="24"/>
        <v>0</v>
      </c>
      <c r="EU22" s="5">
        <f t="shared" si="56"/>
        <v>1</v>
      </c>
      <c r="EV22" s="5">
        <f t="shared" si="57"/>
        <v>0</v>
      </c>
      <c r="EW22" s="5">
        <f t="shared" si="58"/>
        <v>1</v>
      </c>
      <c r="EX22" s="5">
        <f t="shared" si="25"/>
        <v>1</v>
      </c>
      <c r="EY22" s="5">
        <f t="shared" si="26"/>
        <v>0</v>
      </c>
      <c r="EZ22" s="5">
        <f t="shared" si="27"/>
        <v>0</v>
      </c>
      <c r="FA22" s="5">
        <f t="shared" si="28"/>
        <v>1</v>
      </c>
      <c r="FB22" s="5">
        <f t="shared" si="29"/>
        <v>0</v>
      </c>
      <c r="FC22" s="5">
        <f t="shared" si="30"/>
        <v>0</v>
      </c>
      <c r="FD22" s="5">
        <f t="shared" si="31"/>
        <v>0</v>
      </c>
      <c r="FE22" s="5">
        <f t="shared" si="32"/>
        <v>0</v>
      </c>
      <c r="FF22" s="5">
        <f t="shared" si="33"/>
        <v>1</v>
      </c>
      <c r="FG22" s="5">
        <f t="shared" si="34"/>
        <v>1</v>
      </c>
      <c r="FH22" s="5">
        <f t="shared" si="35"/>
        <v>1</v>
      </c>
      <c r="FI22" s="5">
        <f t="shared" si="36"/>
        <v>0</v>
      </c>
      <c r="FJ22" s="5">
        <f t="shared" si="59"/>
        <v>1</v>
      </c>
      <c r="FK22" s="5">
        <f t="shared" si="37"/>
        <v>1</v>
      </c>
      <c r="FL22" s="5">
        <f t="shared" si="38"/>
        <v>1</v>
      </c>
      <c r="FM22" s="5">
        <f t="shared" si="60"/>
        <v>0</v>
      </c>
      <c r="FN22" s="5">
        <f t="shared" si="39"/>
        <v>0</v>
      </c>
      <c r="FO22" s="5">
        <f t="shared" si="40"/>
        <v>0</v>
      </c>
    </row>
    <row r="23" spans="1:171" ht="25.5" customHeight="1">
      <c r="B23" s="95"/>
      <c r="C23" s="12" t="s">
        <v>174</v>
      </c>
      <c r="D23" s="30">
        <v>7</v>
      </c>
      <c r="E23" s="51" t="s">
        <v>130</v>
      </c>
      <c r="F23" s="51" t="s">
        <v>146</v>
      </c>
      <c r="G23" s="51"/>
      <c r="H23" s="51" t="s">
        <v>130</v>
      </c>
      <c r="I23" s="51" t="s">
        <v>103</v>
      </c>
      <c r="J23" s="51"/>
      <c r="K23" s="51" t="s">
        <v>130</v>
      </c>
      <c r="L23" s="51" t="s">
        <v>115</v>
      </c>
      <c r="M23" s="51"/>
      <c r="N23" s="50" t="s">
        <v>194</v>
      </c>
      <c r="O23" s="50" t="s">
        <v>197</v>
      </c>
      <c r="P23" s="50" t="s">
        <v>60</v>
      </c>
      <c r="Q23" s="50" t="s">
        <v>194</v>
      </c>
      <c r="R23" s="50" t="s">
        <v>196</v>
      </c>
      <c r="S23" s="50" t="s">
        <v>81</v>
      </c>
      <c r="T23" s="42" t="s">
        <v>124</v>
      </c>
      <c r="U23" s="42" t="s">
        <v>105</v>
      </c>
      <c r="V23" s="42"/>
      <c r="W23" s="42" t="s">
        <v>122</v>
      </c>
      <c r="X23" s="42" t="s">
        <v>93</v>
      </c>
      <c r="Y23" s="42"/>
      <c r="Z23" s="42" t="s">
        <v>124</v>
      </c>
      <c r="AA23" s="42" t="s">
        <v>91</v>
      </c>
      <c r="AB23" s="42"/>
      <c r="AC23" s="42" t="s">
        <v>126</v>
      </c>
      <c r="AD23" s="42" t="s">
        <v>66</v>
      </c>
      <c r="AE23" s="42"/>
      <c r="AF23" s="42" t="s">
        <v>126</v>
      </c>
      <c r="AG23" s="42" t="s">
        <v>129</v>
      </c>
      <c r="AH23" s="42"/>
      <c r="AI23" s="42" t="s">
        <v>125</v>
      </c>
      <c r="AJ23" s="42" t="s">
        <v>62</v>
      </c>
      <c r="AK23" s="42"/>
      <c r="AL23" s="42" t="s">
        <v>143</v>
      </c>
      <c r="AM23" s="42" t="s">
        <v>76</v>
      </c>
      <c r="AN23" s="42" t="s">
        <v>53</v>
      </c>
      <c r="AO23" s="42" t="s">
        <v>122</v>
      </c>
      <c r="AP23" s="42" t="s">
        <v>64</v>
      </c>
      <c r="AQ23" s="42"/>
      <c r="AR23" s="42" t="s">
        <v>132</v>
      </c>
      <c r="AS23" s="42" t="s">
        <v>72</v>
      </c>
      <c r="AT23" s="42"/>
      <c r="AU23" s="51" t="s">
        <v>130</v>
      </c>
      <c r="AV23" s="51" t="s">
        <v>107</v>
      </c>
      <c r="AW23" s="51"/>
      <c r="AX23" s="51" t="s">
        <v>164</v>
      </c>
      <c r="AY23" s="51" t="s">
        <v>149</v>
      </c>
      <c r="AZ23" s="51"/>
      <c r="BA23" s="51" t="s">
        <v>160</v>
      </c>
      <c r="BB23" s="51" t="s">
        <v>161</v>
      </c>
      <c r="BC23" s="51"/>
      <c r="BD23" s="42" t="s">
        <v>124</v>
      </c>
      <c r="BE23" s="42" t="s">
        <v>57</v>
      </c>
      <c r="BF23" s="42"/>
      <c r="BG23" s="42" t="s">
        <v>125</v>
      </c>
      <c r="BH23" s="42" t="s">
        <v>77</v>
      </c>
      <c r="BI23" s="42"/>
      <c r="BJ23" s="68" t="s">
        <v>134</v>
      </c>
      <c r="BK23" s="68" t="s">
        <v>166</v>
      </c>
      <c r="BL23" s="68" t="s">
        <v>71</v>
      </c>
      <c r="BM23" s="42" t="s">
        <v>130</v>
      </c>
      <c r="BN23" s="42" t="s">
        <v>201</v>
      </c>
      <c r="BO23" s="42" t="s">
        <v>111</v>
      </c>
      <c r="BP23" s="42" t="s">
        <v>130</v>
      </c>
      <c r="BQ23" s="42" t="s">
        <v>135</v>
      </c>
      <c r="BR23" s="42" t="s">
        <v>112</v>
      </c>
      <c r="BS23" s="42" t="s">
        <v>137</v>
      </c>
      <c r="BT23" s="42" t="s">
        <v>80</v>
      </c>
      <c r="BU23" s="42"/>
      <c r="BV23" s="42" t="s">
        <v>159</v>
      </c>
      <c r="BW23" s="42" t="s">
        <v>68</v>
      </c>
      <c r="BX23" s="42"/>
      <c r="BY23" s="72" t="s">
        <v>130</v>
      </c>
      <c r="BZ23" s="72" t="s">
        <v>113</v>
      </c>
      <c r="CA23" s="72"/>
      <c r="CB23" s="42" t="s">
        <v>126</v>
      </c>
      <c r="CC23" s="42" t="s">
        <v>108</v>
      </c>
      <c r="CD23" s="42"/>
      <c r="CE23" s="68" t="s">
        <v>122</v>
      </c>
      <c r="CF23" s="68" t="s">
        <v>94</v>
      </c>
      <c r="CG23" s="68"/>
      <c r="CH23" s="42" t="s">
        <v>160</v>
      </c>
      <c r="CI23" s="42" t="s">
        <v>133</v>
      </c>
      <c r="CJ23" s="42" t="s">
        <v>116</v>
      </c>
      <c r="CK23" s="42" t="s">
        <v>137</v>
      </c>
      <c r="CL23" s="42" t="s">
        <v>138</v>
      </c>
      <c r="CM23" s="42"/>
      <c r="CN23" s="42" t="s">
        <v>176</v>
      </c>
      <c r="CO23" s="42" t="s">
        <v>118</v>
      </c>
      <c r="CP23" s="42"/>
      <c r="CQ23" s="53" t="s">
        <v>202</v>
      </c>
      <c r="CR23" s="53" t="s">
        <v>119</v>
      </c>
      <c r="CS23" s="53"/>
      <c r="CT23" s="53" t="s">
        <v>202</v>
      </c>
      <c r="CU23" s="53" t="s">
        <v>120</v>
      </c>
      <c r="CV23" s="53"/>
      <c r="CW23" s="42" t="s">
        <v>178</v>
      </c>
      <c r="CX23" s="42" t="s">
        <v>59</v>
      </c>
      <c r="CY23" s="42" t="s">
        <v>203</v>
      </c>
      <c r="CZ23" s="50" t="s">
        <v>140</v>
      </c>
      <c r="DA23" s="50" t="s">
        <v>109</v>
      </c>
      <c r="DB23" s="50"/>
      <c r="DC23" s="50" t="s">
        <v>127</v>
      </c>
      <c r="DD23" s="50" t="s">
        <v>151</v>
      </c>
      <c r="DE23" s="50"/>
      <c r="DF23" s="42"/>
      <c r="DG23" s="42" t="s">
        <v>73</v>
      </c>
      <c r="DH23" s="42" t="s">
        <v>87</v>
      </c>
      <c r="DI23" s="65" t="s">
        <v>84</v>
      </c>
      <c r="DJ23" s="63" t="s">
        <v>136</v>
      </c>
      <c r="DK23" s="5">
        <f t="shared" si="41"/>
        <v>1</v>
      </c>
      <c r="DL23" s="5">
        <f t="shared" si="42"/>
        <v>0</v>
      </c>
      <c r="DM23" s="5">
        <f t="shared" si="43"/>
        <v>0</v>
      </c>
      <c r="DN23" s="5">
        <f t="shared" si="4"/>
        <v>0</v>
      </c>
      <c r="DO23" s="5">
        <f t="shared" si="44"/>
        <v>1</v>
      </c>
      <c r="DP23" s="5">
        <f t="shared" si="45"/>
        <v>0</v>
      </c>
      <c r="DQ23" s="5">
        <f t="shared" si="5"/>
        <v>1</v>
      </c>
      <c r="DR23" s="5">
        <f t="shared" si="6"/>
        <v>1</v>
      </c>
      <c r="DS23" s="5">
        <f t="shared" si="46"/>
        <v>0</v>
      </c>
      <c r="DT23" s="5">
        <f t="shared" si="7"/>
        <v>1</v>
      </c>
      <c r="DU23" s="5">
        <f t="shared" si="47"/>
        <v>0</v>
      </c>
      <c r="DV23" s="5">
        <f t="shared" si="8"/>
        <v>1</v>
      </c>
      <c r="DW23" s="5">
        <f t="shared" si="48"/>
        <v>0</v>
      </c>
      <c r="DX23" s="5">
        <f t="shared" si="9"/>
        <v>1</v>
      </c>
      <c r="DY23" s="5">
        <f t="shared" si="49"/>
        <v>0</v>
      </c>
      <c r="DZ23" s="5">
        <f t="shared" si="10"/>
        <v>1</v>
      </c>
      <c r="EA23" s="5">
        <f t="shared" si="50"/>
        <v>0</v>
      </c>
      <c r="EB23" s="5">
        <f t="shared" si="11"/>
        <v>0</v>
      </c>
      <c r="EC23" s="5">
        <f t="shared" si="12"/>
        <v>1</v>
      </c>
      <c r="ED23" s="5">
        <f t="shared" si="13"/>
        <v>1</v>
      </c>
      <c r="EE23" s="5">
        <f t="shared" si="51"/>
        <v>1</v>
      </c>
      <c r="EF23" s="5">
        <f t="shared" si="14"/>
        <v>1</v>
      </c>
      <c r="EG23" s="5">
        <f t="shared" si="15"/>
        <v>0</v>
      </c>
      <c r="EH23" s="5">
        <f t="shared" si="52"/>
        <v>0</v>
      </c>
      <c r="EI23" s="5">
        <f t="shared" si="53"/>
        <v>1</v>
      </c>
      <c r="EJ23" s="5">
        <f t="shared" si="16"/>
        <v>0</v>
      </c>
      <c r="EK23" s="5">
        <f t="shared" si="17"/>
        <v>1</v>
      </c>
      <c r="EL23" s="5">
        <f t="shared" si="54"/>
        <v>0</v>
      </c>
      <c r="EM23" s="5">
        <f t="shared" si="18"/>
        <v>0</v>
      </c>
      <c r="EN23" s="5">
        <f t="shared" si="19"/>
        <v>1</v>
      </c>
      <c r="EO23" s="5">
        <f t="shared" si="20"/>
        <v>1</v>
      </c>
      <c r="EP23" s="5">
        <f t="shared" si="21"/>
        <v>1</v>
      </c>
      <c r="EQ23" s="5">
        <f t="shared" si="55"/>
        <v>0</v>
      </c>
      <c r="ER23" s="5">
        <f t="shared" si="22"/>
        <v>0</v>
      </c>
      <c r="ES23" s="5">
        <f t="shared" si="23"/>
        <v>1</v>
      </c>
      <c r="ET23" s="5">
        <f t="shared" si="24"/>
        <v>1</v>
      </c>
      <c r="EU23" s="5">
        <f t="shared" si="56"/>
        <v>1</v>
      </c>
      <c r="EV23" s="5">
        <f t="shared" si="57"/>
        <v>0</v>
      </c>
      <c r="EW23" s="5">
        <f t="shared" si="58"/>
        <v>1</v>
      </c>
      <c r="EX23" s="5">
        <f t="shared" si="25"/>
        <v>1</v>
      </c>
      <c r="EY23" s="5">
        <f t="shared" si="26"/>
        <v>0</v>
      </c>
      <c r="EZ23" s="5">
        <f t="shared" si="27"/>
        <v>0</v>
      </c>
      <c r="FA23" s="5">
        <f t="shared" si="28"/>
        <v>0</v>
      </c>
      <c r="FB23" s="5">
        <f t="shared" si="29"/>
        <v>1</v>
      </c>
      <c r="FC23" s="5">
        <f t="shared" si="30"/>
        <v>0</v>
      </c>
      <c r="FD23" s="5">
        <f t="shared" si="31"/>
        <v>1</v>
      </c>
      <c r="FE23" s="5">
        <f t="shared" si="32"/>
        <v>1</v>
      </c>
      <c r="FF23" s="5">
        <f t="shared" si="33"/>
        <v>0</v>
      </c>
      <c r="FG23" s="5">
        <f t="shared" si="34"/>
        <v>1</v>
      </c>
      <c r="FH23" s="5">
        <f t="shared" si="35"/>
        <v>0</v>
      </c>
      <c r="FI23" s="5">
        <f t="shared" si="36"/>
        <v>0</v>
      </c>
      <c r="FJ23" s="5">
        <f t="shared" si="59"/>
        <v>1</v>
      </c>
      <c r="FK23" s="5">
        <f t="shared" si="37"/>
        <v>1</v>
      </c>
      <c r="FL23" s="5">
        <f t="shared" si="38"/>
        <v>0</v>
      </c>
      <c r="FM23" s="5">
        <f t="shared" si="60"/>
        <v>0</v>
      </c>
      <c r="FN23" s="5">
        <f t="shared" si="39"/>
        <v>0</v>
      </c>
      <c r="FO23" s="5">
        <f t="shared" si="40"/>
        <v>0</v>
      </c>
    </row>
    <row r="24" spans="1:171" ht="25.5" customHeight="1">
      <c r="B24" s="95"/>
      <c r="C24" s="12" t="s">
        <v>177</v>
      </c>
      <c r="D24" s="30">
        <v>8</v>
      </c>
      <c r="E24" s="51" t="s">
        <v>130</v>
      </c>
      <c r="F24" s="51" t="s">
        <v>146</v>
      </c>
      <c r="G24" s="51"/>
      <c r="H24" s="51" t="s">
        <v>130</v>
      </c>
      <c r="I24" s="51" t="s">
        <v>103</v>
      </c>
      <c r="J24" s="51"/>
      <c r="K24" s="51" t="s">
        <v>130</v>
      </c>
      <c r="L24" s="51" t="s">
        <v>115</v>
      </c>
      <c r="M24" s="51"/>
      <c r="N24" s="50" t="s">
        <v>194</v>
      </c>
      <c r="O24" s="50" t="s">
        <v>197</v>
      </c>
      <c r="P24" s="50" t="s">
        <v>60</v>
      </c>
      <c r="Q24" s="50" t="s">
        <v>194</v>
      </c>
      <c r="R24" s="50" t="s">
        <v>196</v>
      </c>
      <c r="S24" s="50" t="s">
        <v>81</v>
      </c>
      <c r="T24" s="42" t="s">
        <v>122</v>
      </c>
      <c r="U24" s="42" t="s">
        <v>93</v>
      </c>
      <c r="V24" s="42"/>
      <c r="W24" s="42" t="s">
        <v>123</v>
      </c>
      <c r="X24" s="42" t="s">
        <v>88</v>
      </c>
      <c r="Y24" s="42"/>
      <c r="Z24" s="42" t="s">
        <v>124</v>
      </c>
      <c r="AA24" s="42" t="s">
        <v>91</v>
      </c>
      <c r="AB24" s="42"/>
      <c r="AC24" s="42" t="s">
        <v>132</v>
      </c>
      <c r="AD24" s="42" t="s">
        <v>72</v>
      </c>
      <c r="AE24" s="42"/>
      <c r="AF24" s="42" t="s">
        <v>126</v>
      </c>
      <c r="AG24" s="42" t="s">
        <v>129</v>
      </c>
      <c r="AH24" s="42"/>
      <c r="AI24" s="42" t="s">
        <v>125</v>
      </c>
      <c r="AJ24" s="42" t="s">
        <v>62</v>
      </c>
      <c r="AK24" s="42"/>
      <c r="AL24" s="42" t="s">
        <v>143</v>
      </c>
      <c r="AM24" s="42" t="s">
        <v>76</v>
      </c>
      <c r="AN24" s="42" t="s">
        <v>53</v>
      </c>
      <c r="AO24" s="42" t="s">
        <v>122</v>
      </c>
      <c r="AP24" s="42" t="s">
        <v>70</v>
      </c>
      <c r="AQ24" s="42"/>
      <c r="AR24" s="42" t="s">
        <v>122</v>
      </c>
      <c r="AS24" s="42" t="s">
        <v>94</v>
      </c>
      <c r="AT24" s="42"/>
      <c r="AU24" s="51" t="s">
        <v>130</v>
      </c>
      <c r="AV24" s="51" t="s">
        <v>107</v>
      </c>
      <c r="AW24" s="51"/>
      <c r="AX24" s="51" t="s">
        <v>164</v>
      </c>
      <c r="AY24" s="51" t="s">
        <v>149</v>
      </c>
      <c r="AZ24" s="51"/>
      <c r="BA24" s="42" t="s">
        <v>124</v>
      </c>
      <c r="BB24" s="42" t="s">
        <v>105</v>
      </c>
      <c r="BC24" s="42"/>
      <c r="BD24" s="42" t="s">
        <v>124</v>
      </c>
      <c r="BE24" s="42" t="s">
        <v>57</v>
      </c>
      <c r="BF24" s="42"/>
      <c r="BG24" s="42" t="s">
        <v>125</v>
      </c>
      <c r="BH24" s="42" t="s">
        <v>77</v>
      </c>
      <c r="BI24" s="42"/>
      <c r="BJ24" s="68" t="s">
        <v>134</v>
      </c>
      <c r="BK24" s="68" t="s">
        <v>166</v>
      </c>
      <c r="BL24" s="68" t="s">
        <v>71</v>
      </c>
      <c r="BM24" s="42" t="s">
        <v>130</v>
      </c>
      <c r="BN24" s="42" t="s">
        <v>201</v>
      </c>
      <c r="BO24" s="42" t="s">
        <v>111</v>
      </c>
      <c r="BP24" s="42" t="s">
        <v>130</v>
      </c>
      <c r="BQ24" s="42" t="s">
        <v>135</v>
      </c>
      <c r="BR24" s="42" t="s">
        <v>112</v>
      </c>
      <c r="BS24" s="68" t="s">
        <v>137</v>
      </c>
      <c r="BT24" s="42" t="s">
        <v>80</v>
      </c>
      <c r="BU24" s="42"/>
      <c r="BV24" s="42" t="s">
        <v>122</v>
      </c>
      <c r="BW24" s="42" t="s">
        <v>64</v>
      </c>
      <c r="BX24" s="42"/>
      <c r="BY24" s="72" t="s">
        <v>130</v>
      </c>
      <c r="BZ24" s="72" t="s">
        <v>113</v>
      </c>
      <c r="CA24" s="72"/>
      <c r="CB24" s="42" t="s">
        <v>126</v>
      </c>
      <c r="CC24" s="42" t="s">
        <v>108</v>
      </c>
      <c r="CD24" s="42"/>
      <c r="CE24" s="68" t="s">
        <v>126</v>
      </c>
      <c r="CF24" s="68" t="s">
        <v>66</v>
      </c>
      <c r="CG24" s="68"/>
      <c r="CH24" s="42" t="s">
        <v>160</v>
      </c>
      <c r="CI24" s="42" t="s">
        <v>133</v>
      </c>
      <c r="CJ24" s="42" t="s">
        <v>116</v>
      </c>
      <c r="CK24" s="42" t="s">
        <v>137</v>
      </c>
      <c r="CL24" s="42" t="s">
        <v>138</v>
      </c>
      <c r="CM24" s="42"/>
      <c r="CN24" s="42" t="s">
        <v>176</v>
      </c>
      <c r="CO24" s="42" t="s">
        <v>118</v>
      </c>
      <c r="CP24" s="42"/>
      <c r="CQ24" s="53" t="s">
        <v>202</v>
      </c>
      <c r="CR24" s="53" t="s">
        <v>119</v>
      </c>
      <c r="CS24" s="53"/>
      <c r="CT24" s="53" t="s">
        <v>202</v>
      </c>
      <c r="CU24" s="53" t="s">
        <v>120</v>
      </c>
      <c r="CV24" s="53"/>
      <c r="CW24" s="50" t="s">
        <v>140</v>
      </c>
      <c r="CX24" s="50" t="s">
        <v>109</v>
      </c>
      <c r="CY24" s="50"/>
      <c r="CZ24" s="50" t="s">
        <v>173</v>
      </c>
      <c r="DA24" s="50" t="s">
        <v>74</v>
      </c>
      <c r="DB24" s="50"/>
      <c r="DC24" s="42" t="s">
        <v>204</v>
      </c>
      <c r="DD24" s="42" t="s">
        <v>205</v>
      </c>
      <c r="DE24" s="42"/>
      <c r="DF24" s="42"/>
      <c r="DG24" s="42" t="s">
        <v>73</v>
      </c>
      <c r="DH24" s="42" t="s">
        <v>87</v>
      </c>
      <c r="DI24" s="65" t="s">
        <v>84</v>
      </c>
      <c r="DJ24" s="63" t="s">
        <v>136</v>
      </c>
      <c r="DK24" s="5">
        <f t="shared" si="41"/>
        <v>1</v>
      </c>
      <c r="DL24" s="5">
        <f t="shared" si="42"/>
        <v>0</v>
      </c>
      <c r="DM24" s="5">
        <f t="shared" si="43"/>
        <v>0</v>
      </c>
      <c r="DN24" s="5">
        <f t="shared" si="4"/>
        <v>0</v>
      </c>
      <c r="DO24" s="5">
        <f t="shared" si="44"/>
        <v>1</v>
      </c>
      <c r="DP24" s="5">
        <f t="shared" si="45"/>
        <v>0</v>
      </c>
      <c r="DQ24" s="5">
        <f t="shared" si="5"/>
        <v>0</v>
      </c>
      <c r="DR24" s="5">
        <f t="shared" si="6"/>
        <v>1</v>
      </c>
      <c r="DS24" s="5">
        <f t="shared" si="46"/>
        <v>0</v>
      </c>
      <c r="DT24" s="5">
        <f t="shared" si="7"/>
        <v>1</v>
      </c>
      <c r="DU24" s="5">
        <f t="shared" si="47"/>
        <v>0</v>
      </c>
      <c r="DV24" s="5">
        <f t="shared" si="8"/>
        <v>1</v>
      </c>
      <c r="DW24" s="5">
        <f t="shared" si="48"/>
        <v>0</v>
      </c>
      <c r="DX24" s="5">
        <f t="shared" si="9"/>
        <v>1</v>
      </c>
      <c r="DY24" s="5">
        <f t="shared" si="49"/>
        <v>0</v>
      </c>
      <c r="DZ24" s="5">
        <f t="shared" si="10"/>
        <v>0</v>
      </c>
      <c r="EA24" s="5">
        <f t="shared" si="50"/>
        <v>0</v>
      </c>
      <c r="EB24" s="5">
        <f t="shared" si="11"/>
        <v>1</v>
      </c>
      <c r="EC24" s="5">
        <f t="shared" si="12"/>
        <v>1</v>
      </c>
      <c r="ED24" s="5">
        <f t="shared" si="13"/>
        <v>1</v>
      </c>
      <c r="EE24" s="5">
        <f t="shared" si="51"/>
        <v>1</v>
      </c>
      <c r="EF24" s="5">
        <f t="shared" si="14"/>
        <v>1</v>
      </c>
      <c r="EG24" s="5">
        <f t="shared" si="15"/>
        <v>1</v>
      </c>
      <c r="EH24" s="5">
        <f t="shared" si="52"/>
        <v>0</v>
      </c>
      <c r="EI24" s="5">
        <f t="shared" si="53"/>
        <v>1</v>
      </c>
      <c r="EJ24" s="5">
        <f t="shared" si="16"/>
        <v>0</v>
      </c>
      <c r="EK24" s="5">
        <f t="shared" si="17"/>
        <v>1</v>
      </c>
      <c r="EL24" s="5">
        <f t="shared" si="54"/>
        <v>0</v>
      </c>
      <c r="EM24" s="5">
        <f t="shared" si="18"/>
        <v>0</v>
      </c>
      <c r="EN24" s="5">
        <f t="shared" si="19"/>
        <v>1</v>
      </c>
      <c r="EO24" s="5">
        <f t="shared" si="20"/>
        <v>1</v>
      </c>
      <c r="EP24" s="5">
        <f t="shared" si="21"/>
        <v>1</v>
      </c>
      <c r="EQ24" s="5">
        <f t="shared" si="55"/>
        <v>0</v>
      </c>
      <c r="ER24" s="5">
        <f t="shared" si="22"/>
        <v>0</v>
      </c>
      <c r="ES24" s="5">
        <f t="shared" si="23"/>
        <v>1</v>
      </c>
      <c r="ET24" s="5">
        <f t="shared" si="24"/>
        <v>0</v>
      </c>
      <c r="EU24" s="5">
        <f t="shared" si="56"/>
        <v>1</v>
      </c>
      <c r="EV24" s="5">
        <f t="shared" si="57"/>
        <v>0</v>
      </c>
      <c r="EW24" s="5">
        <f t="shared" si="58"/>
        <v>1</v>
      </c>
      <c r="EX24" s="5">
        <f t="shared" si="25"/>
        <v>1</v>
      </c>
      <c r="EY24" s="5">
        <f t="shared" si="26"/>
        <v>1</v>
      </c>
      <c r="EZ24" s="5">
        <f t="shared" si="27"/>
        <v>0</v>
      </c>
      <c r="FA24" s="5">
        <f t="shared" si="28"/>
        <v>0</v>
      </c>
      <c r="FB24" s="5">
        <f t="shared" si="29"/>
        <v>1</v>
      </c>
      <c r="FC24" s="5">
        <f t="shared" si="30"/>
        <v>0</v>
      </c>
      <c r="FD24" s="5">
        <f t="shared" si="31"/>
        <v>1</v>
      </c>
      <c r="FE24" s="5">
        <f t="shared" si="32"/>
        <v>1</v>
      </c>
      <c r="FF24" s="5">
        <f t="shared" si="33"/>
        <v>0</v>
      </c>
      <c r="FG24" s="5">
        <f t="shared" si="34"/>
        <v>1</v>
      </c>
      <c r="FH24" s="5">
        <f t="shared" si="35"/>
        <v>0</v>
      </c>
      <c r="FI24" s="5">
        <f t="shared" si="36"/>
        <v>0</v>
      </c>
      <c r="FJ24" s="5">
        <f t="shared" si="59"/>
        <v>0</v>
      </c>
      <c r="FK24" s="5">
        <f t="shared" si="37"/>
        <v>1</v>
      </c>
      <c r="FL24" s="5">
        <f t="shared" si="38"/>
        <v>0</v>
      </c>
      <c r="FM24" s="5">
        <f t="shared" si="60"/>
        <v>0</v>
      </c>
      <c r="FN24" s="5">
        <f t="shared" si="39"/>
        <v>1</v>
      </c>
      <c r="FO24" s="5">
        <f t="shared" si="40"/>
        <v>0</v>
      </c>
    </row>
    <row r="25" spans="1:171" s="8" customFormat="1" ht="25.5" customHeight="1">
      <c r="B25" s="22"/>
      <c r="C25" s="13"/>
      <c r="D25" s="31"/>
      <c r="E25" s="56"/>
      <c r="F25" s="56"/>
      <c r="G25" s="56"/>
      <c r="H25" s="56"/>
      <c r="I25" s="56"/>
      <c r="J25" s="56"/>
      <c r="K25" s="56"/>
      <c r="L25" s="56"/>
      <c r="M25" s="56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66"/>
      <c r="DJ25" s="64"/>
      <c r="DK25" s="5">
        <f t="shared" si="41"/>
        <v>0</v>
      </c>
      <c r="DL25" s="5">
        <f t="shared" si="42"/>
        <v>0</v>
      </c>
      <c r="DM25" s="5">
        <f t="shared" si="43"/>
        <v>0</v>
      </c>
      <c r="DN25" s="5">
        <f t="shared" si="4"/>
        <v>0</v>
      </c>
      <c r="DO25" s="5">
        <f t="shared" si="44"/>
        <v>0</v>
      </c>
      <c r="DP25" s="5">
        <f t="shared" si="45"/>
        <v>0</v>
      </c>
      <c r="DQ25" s="5">
        <f t="shared" si="5"/>
        <v>0</v>
      </c>
      <c r="DR25" s="5">
        <f t="shared" si="6"/>
        <v>0</v>
      </c>
      <c r="DS25" s="5">
        <f t="shared" si="46"/>
        <v>0</v>
      </c>
      <c r="DT25" s="5">
        <f t="shared" si="7"/>
        <v>0</v>
      </c>
      <c r="DU25" s="5">
        <f t="shared" si="47"/>
        <v>0</v>
      </c>
      <c r="DV25" s="5">
        <f t="shared" si="8"/>
        <v>0</v>
      </c>
      <c r="DW25" s="5">
        <f t="shared" si="48"/>
        <v>0</v>
      </c>
      <c r="DX25" s="5">
        <f t="shared" si="9"/>
        <v>0</v>
      </c>
      <c r="DY25" s="5">
        <f t="shared" si="49"/>
        <v>0</v>
      </c>
      <c r="DZ25" s="5">
        <f t="shared" si="10"/>
        <v>0</v>
      </c>
      <c r="EA25" s="5">
        <f t="shared" si="50"/>
        <v>0</v>
      </c>
      <c r="EB25" s="5">
        <f t="shared" si="11"/>
        <v>0</v>
      </c>
      <c r="EC25" s="5">
        <f t="shared" si="12"/>
        <v>0</v>
      </c>
      <c r="ED25" s="5">
        <f t="shared" si="13"/>
        <v>0</v>
      </c>
      <c r="EE25" s="5">
        <f t="shared" si="51"/>
        <v>0</v>
      </c>
      <c r="EF25" s="5">
        <f t="shared" si="14"/>
        <v>0</v>
      </c>
      <c r="EG25" s="5">
        <f t="shared" si="15"/>
        <v>0</v>
      </c>
      <c r="EH25" s="5">
        <f t="shared" si="52"/>
        <v>0</v>
      </c>
      <c r="EI25" s="5">
        <f t="shared" si="53"/>
        <v>0</v>
      </c>
      <c r="EJ25" s="5">
        <f t="shared" si="16"/>
        <v>0</v>
      </c>
      <c r="EK25" s="5">
        <f t="shared" si="17"/>
        <v>0</v>
      </c>
      <c r="EL25" s="5">
        <f t="shared" si="54"/>
        <v>0</v>
      </c>
      <c r="EM25" s="5">
        <f t="shared" si="18"/>
        <v>0</v>
      </c>
      <c r="EN25" s="5">
        <f t="shared" si="19"/>
        <v>0</v>
      </c>
      <c r="EO25" s="5">
        <f t="shared" si="20"/>
        <v>0</v>
      </c>
      <c r="EP25" s="5">
        <f t="shared" si="21"/>
        <v>0</v>
      </c>
      <c r="EQ25" s="5">
        <f t="shared" si="55"/>
        <v>0</v>
      </c>
      <c r="ER25" s="5">
        <f t="shared" si="22"/>
        <v>0</v>
      </c>
      <c r="ES25" s="5">
        <f t="shared" si="23"/>
        <v>0</v>
      </c>
      <c r="ET25" s="5">
        <f t="shared" si="24"/>
        <v>0</v>
      </c>
      <c r="EU25" s="5">
        <f t="shared" si="56"/>
        <v>0</v>
      </c>
      <c r="EV25" s="5">
        <f t="shared" si="57"/>
        <v>0</v>
      </c>
      <c r="EW25" s="5">
        <f t="shared" si="58"/>
        <v>0</v>
      </c>
      <c r="EX25" s="5">
        <f t="shared" si="25"/>
        <v>0</v>
      </c>
      <c r="EY25" s="5">
        <f t="shared" si="26"/>
        <v>0</v>
      </c>
      <c r="EZ25" s="5">
        <f t="shared" si="27"/>
        <v>0</v>
      </c>
      <c r="FA25" s="5">
        <f t="shared" si="28"/>
        <v>0</v>
      </c>
      <c r="FB25" s="5">
        <f t="shared" si="29"/>
        <v>0</v>
      </c>
      <c r="FC25" s="5">
        <f t="shared" si="30"/>
        <v>0</v>
      </c>
      <c r="FD25" s="5">
        <f t="shared" si="31"/>
        <v>0</v>
      </c>
      <c r="FE25" s="5">
        <f t="shared" si="32"/>
        <v>0</v>
      </c>
      <c r="FF25" s="5">
        <f t="shared" si="33"/>
        <v>0</v>
      </c>
      <c r="FG25" s="5">
        <f t="shared" si="34"/>
        <v>0</v>
      </c>
      <c r="FH25" s="5">
        <f t="shared" si="35"/>
        <v>0</v>
      </c>
      <c r="FI25" s="5">
        <f t="shared" si="36"/>
        <v>0</v>
      </c>
      <c r="FJ25" s="5">
        <f t="shared" si="59"/>
        <v>0</v>
      </c>
      <c r="FK25" s="5">
        <f t="shared" si="37"/>
        <v>0</v>
      </c>
      <c r="FL25" s="5">
        <f t="shared" si="38"/>
        <v>0</v>
      </c>
      <c r="FM25" s="5">
        <f t="shared" si="60"/>
        <v>0</v>
      </c>
      <c r="FN25" s="5">
        <f t="shared" si="39"/>
        <v>0</v>
      </c>
      <c r="FO25" s="5">
        <f t="shared" si="40"/>
        <v>0</v>
      </c>
    </row>
    <row r="26" spans="1:171" ht="25.5" customHeight="1">
      <c r="B26" s="95" t="s">
        <v>206</v>
      </c>
      <c r="C26" s="12" t="s">
        <v>101</v>
      </c>
      <c r="D26" s="30">
        <v>1</v>
      </c>
      <c r="E26" s="58" t="s">
        <v>134</v>
      </c>
      <c r="F26" s="58" t="s">
        <v>111</v>
      </c>
      <c r="G26" s="58"/>
      <c r="H26" s="58" t="s">
        <v>130</v>
      </c>
      <c r="I26" s="58" t="s">
        <v>147</v>
      </c>
      <c r="J26" s="58"/>
      <c r="K26" s="58" t="s">
        <v>130</v>
      </c>
      <c r="L26" s="58" t="s">
        <v>115</v>
      </c>
      <c r="M26" s="58"/>
      <c r="N26" s="59" t="s">
        <v>124</v>
      </c>
      <c r="O26" s="42" t="s">
        <v>105</v>
      </c>
      <c r="P26" s="42"/>
      <c r="Q26" s="42" t="s">
        <v>143</v>
      </c>
      <c r="R26" s="42" t="s">
        <v>73</v>
      </c>
      <c r="S26" s="42" t="s">
        <v>53</v>
      </c>
      <c r="T26" s="42" t="s">
        <v>159</v>
      </c>
      <c r="U26" s="42" t="s">
        <v>68</v>
      </c>
      <c r="V26" s="42"/>
      <c r="W26" s="50" t="s">
        <v>140</v>
      </c>
      <c r="X26" s="50" t="s">
        <v>207</v>
      </c>
      <c r="Y26" s="50"/>
      <c r="Z26" s="51" t="s">
        <v>160</v>
      </c>
      <c r="AA26" s="51" t="s">
        <v>146</v>
      </c>
      <c r="AB26" s="51"/>
      <c r="AC26" s="51" t="s">
        <v>160</v>
      </c>
      <c r="AD26" s="51" t="s">
        <v>162</v>
      </c>
      <c r="AE26" s="51"/>
      <c r="AF26" s="51" t="s">
        <v>160</v>
      </c>
      <c r="AG26" s="51" t="s">
        <v>161</v>
      </c>
      <c r="AH26" s="51"/>
      <c r="AI26" s="42" t="s">
        <v>126</v>
      </c>
      <c r="AJ26" s="42" t="s">
        <v>108</v>
      </c>
      <c r="AK26" s="42"/>
      <c r="AL26" s="42" t="s">
        <v>140</v>
      </c>
      <c r="AM26" s="42" t="s">
        <v>109</v>
      </c>
      <c r="AN26" s="42"/>
      <c r="AO26" s="42" t="s">
        <v>126</v>
      </c>
      <c r="AP26" s="42" t="s">
        <v>84</v>
      </c>
      <c r="AQ26" s="42"/>
      <c r="AR26" s="42" t="s">
        <v>124</v>
      </c>
      <c r="AS26" s="42" t="s">
        <v>104</v>
      </c>
      <c r="AT26" s="42"/>
      <c r="AU26" s="71" t="s">
        <v>182</v>
      </c>
      <c r="AV26" s="71" t="s">
        <v>93</v>
      </c>
      <c r="AW26" s="71" t="s">
        <v>198</v>
      </c>
      <c r="AX26" s="42" t="s">
        <v>132</v>
      </c>
      <c r="AY26" s="42" t="s">
        <v>72</v>
      </c>
      <c r="AZ26" s="51"/>
      <c r="BA26" s="42" t="s">
        <v>126</v>
      </c>
      <c r="BB26" s="42" t="s">
        <v>83</v>
      </c>
      <c r="BC26" s="42"/>
      <c r="BD26" s="42" t="s">
        <v>125</v>
      </c>
      <c r="BE26" s="42" t="s">
        <v>77</v>
      </c>
      <c r="BF26" s="42"/>
      <c r="BG26" s="42" t="s">
        <v>124</v>
      </c>
      <c r="BH26" s="42" t="s">
        <v>69</v>
      </c>
      <c r="BI26" s="42" t="s">
        <v>57</v>
      </c>
      <c r="BJ26" s="68" t="s">
        <v>126</v>
      </c>
      <c r="BK26" s="68" t="s">
        <v>80</v>
      </c>
      <c r="BL26" s="68"/>
      <c r="BM26" s="42" t="s">
        <v>124</v>
      </c>
      <c r="BN26" s="42" t="s">
        <v>165</v>
      </c>
      <c r="BO26" s="42"/>
      <c r="BP26" s="42" t="s">
        <v>127</v>
      </c>
      <c r="BQ26" s="42" t="s">
        <v>151</v>
      </c>
      <c r="BR26" s="42"/>
      <c r="BS26" s="42" t="s">
        <v>130</v>
      </c>
      <c r="BT26" s="42" t="s">
        <v>135</v>
      </c>
      <c r="BU26" s="42" t="s">
        <v>118</v>
      </c>
      <c r="BV26" s="42" t="s">
        <v>124</v>
      </c>
      <c r="BW26" s="42" t="s">
        <v>67</v>
      </c>
      <c r="BX26" s="42"/>
      <c r="BY26" s="42" t="s">
        <v>125</v>
      </c>
      <c r="BZ26" s="42" t="s">
        <v>62</v>
      </c>
      <c r="CA26" s="42"/>
      <c r="CB26" s="42" t="s">
        <v>130</v>
      </c>
      <c r="CC26" s="42" t="s">
        <v>133</v>
      </c>
      <c r="CD26" s="42"/>
      <c r="CE26" s="42" t="s">
        <v>200</v>
      </c>
      <c r="CF26" s="42" t="s">
        <v>166</v>
      </c>
      <c r="CG26" s="42"/>
      <c r="CH26" s="71" t="s">
        <v>123</v>
      </c>
      <c r="CI26" s="71" t="s">
        <v>74</v>
      </c>
      <c r="CJ26" s="42" t="s">
        <v>198</v>
      </c>
      <c r="CK26" s="42" t="s">
        <v>164</v>
      </c>
      <c r="CL26" s="42" t="s">
        <v>149</v>
      </c>
      <c r="CM26" s="42" t="s">
        <v>153</v>
      </c>
      <c r="CN26" s="42" t="s">
        <v>208</v>
      </c>
      <c r="CO26" s="42" t="s">
        <v>71</v>
      </c>
      <c r="CP26" s="42"/>
      <c r="CQ26" s="53" t="s">
        <v>130</v>
      </c>
      <c r="CR26" s="53" t="s">
        <v>187</v>
      </c>
      <c r="CS26" s="53"/>
      <c r="CT26" s="42" t="s">
        <v>159</v>
      </c>
      <c r="CU26" s="42" t="s">
        <v>205</v>
      </c>
      <c r="CV26" s="42"/>
      <c r="CW26" s="42" t="s">
        <v>144</v>
      </c>
      <c r="CX26" s="42" t="s">
        <v>90</v>
      </c>
      <c r="CY26" s="42"/>
      <c r="CZ26" s="42" t="s">
        <v>132</v>
      </c>
      <c r="DA26" s="42" t="s">
        <v>63</v>
      </c>
      <c r="DB26" s="42"/>
      <c r="DC26" s="42" t="s">
        <v>126</v>
      </c>
      <c r="DD26" s="42" t="s">
        <v>59</v>
      </c>
      <c r="DE26" s="42"/>
      <c r="DF26" s="42" t="s">
        <v>55</v>
      </c>
      <c r="DG26" s="42"/>
      <c r="DH26" s="42" t="s">
        <v>209</v>
      </c>
      <c r="DI26" s="65"/>
      <c r="DJ26" s="63"/>
      <c r="DK26" s="5">
        <f t="shared" si="41"/>
        <v>1</v>
      </c>
      <c r="DL26" s="5">
        <f t="shared" si="42"/>
        <v>0</v>
      </c>
      <c r="DM26" s="5">
        <f t="shared" si="43"/>
        <v>1</v>
      </c>
      <c r="DN26" s="5">
        <f t="shared" si="4"/>
        <v>0</v>
      </c>
      <c r="DO26" s="5">
        <f t="shared" si="44"/>
        <v>1</v>
      </c>
      <c r="DP26" s="5">
        <f t="shared" si="45"/>
        <v>0</v>
      </c>
      <c r="DQ26" s="5">
        <f t="shared" si="5"/>
        <v>1</v>
      </c>
      <c r="DR26" s="5">
        <f t="shared" si="6"/>
        <v>0</v>
      </c>
      <c r="DS26" s="5">
        <f t="shared" si="46"/>
        <v>0</v>
      </c>
      <c r="DT26" s="5">
        <f t="shared" si="7"/>
        <v>1</v>
      </c>
      <c r="DU26" s="5">
        <f t="shared" si="47"/>
        <v>1</v>
      </c>
      <c r="DV26" s="5">
        <f t="shared" si="8"/>
        <v>0</v>
      </c>
      <c r="DW26" s="5">
        <f t="shared" si="48"/>
        <v>0</v>
      </c>
      <c r="DX26" s="5">
        <f t="shared" si="9"/>
        <v>0</v>
      </c>
      <c r="DY26" s="5">
        <f t="shared" si="49"/>
        <v>1</v>
      </c>
      <c r="DZ26" s="5">
        <f t="shared" si="10"/>
        <v>1</v>
      </c>
      <c r="EA26" s="5">
        <f t="shared" si="50"/>
        <v>1</v>
      </c>
      <c r="EB26" s="5">
        <f t="shared" si="11"/>
        <v>0</v>
      </c>
      <c r="EC26" s="5">
        <f t="shared" si="12"/>
        <v>1</v>
      </c>
      <c r="ED26" s="5">
        <f t="shared" si="13"/>
        <v>1</v>
      </c>
      <c r="EE26" s="5">
        <f t="shared" si="51"/>
        <v>1</v>
      </c>
      <c r="EF26" s="5">
        <f t="shared" si="14"/>
        <v>1</v>
      </c>
      <c r="EG26" s="5">
        <f t="shared" si="15"/>
        <v>1</v>
      </c>
      <c r="EH26" s="5">
        <f t="shared" si="52"/>
        <v>0</v>
      </c>
      <c r="EI26" s="5">
        <f t="shared" si="53"/>
        <v>0</v>
      </c>
      <c r="EJ26" s="5">
        <f t="shared" si="16"/>
        <v>1</v>
      </c>
      <c r="EK26" s="5">
        <f t="shared" si="17"/>
        <v>1</v>
      </c>
      <c r="EL26" s="5">
        <f t="shared" si="54"/>
        <v>0</v>
      </c>
      <c r="EM26" s="5">
        <f t="shared" si="18"/>
        <v>0</v>
      </c>
      <c r="EN26" s="5">
        <f t="shared" si="19"/>
        <v>1</v>
      </c>
      <c r="EO26" s="5">
        <f t="shared" si="20"/>
        <v>0</v>
      </c>
      <c r="EP26" s="5">
        <f t="shared" si="21"/>
        <v>1</v>
      </c>
      <c r="EQ26" s="5">
        <f t="shared" si="55"/>
        <v>0</v>
      </c>
      <c r="ER26" s="5">
        <f t="shared" si="22"/>
        <v>1</v>
      </c>
      <c r="ES26" s="5">
        <f t="shared" si="23"/>
        <v>1</v>
      </c>
      <c r="ET26" s="5">
        <f t="shared" si="24"/>
        <v>1</v>
      </c>
      <c r="EU26" s="5">
        <f t="shared" si="56"/>
        <v>0</v>
      </c>
      <c r="EV26" s="5">
        <f t="shared" si="57"/>
        <v>0</v>
      </c>
      <c r="EW26" s="5">
        <f t="shared" si="58"/>
        <v>1</v>
      </c>
      <c r="EX26" s="5">
        <f t="shared" si="25"/>
        <v>0</v>
      </c>
      <c r="EY26" s="5">
        <f t="shared" si="26"/>
        <v>0</v>
      </c>
      <c r="EZ26" s="5">
        <f t="shared" si="27"/>
        <v>0</v>
      </c>
      <c r="FA26" s="5">
        <f t="shared" si="28"/>
        <v>1</v>
      </c>
      <c r="FB26" s="5">
        <f t="shared" si="29"/>
        <v>0</v>
      </c>
      <c r="FC26" s="5">
        <f t="shared" si="30"/>
        <v>0</v>
      </c>
      <c r="FD26" s="5">
        <f t="shared" si="31"/>
        <v>1</v>
      </c>
      <c r="FE26" s="5">
        <f t="shared" si="32"/>
        <v>0</v>
      </c>
      <c r="FF26" s="5">
        <f t="shared" si="33"/>
        <v>0</v>
      </c>
      <c r="FG26" s="5">
        <f t="shared" si="34"/>
        <v>1</v>
      </c>
      <c r="FH26" s="5">
        <f t="shared" si="35"/>
        <v>0</v>
      </c>
      <c r="FI26" s="5">
        <f t="shared" si="36"/>
        <v>0</v>
      </c>
      <c r="FJ26" s="5">
        <f t="shared" si="59"/>
        <v>1</v>
      </c>
      <c r="FK26" s="5">
        <f t="shared" si="37"/>
        <v>0</v>
      </c>
      <c r="FL26" s="5">
        <f t="shared" si="38"/>
        <v>0</v>
      </c>
      <c r="FM26" s="5">
        <f t="shared" si="60"/>
        <v>0</v>
      </c>
      <c r="FN26" s="5">
        <f t="shared" si="39"/>
        <v>0</v>
      </c>
      <c r="FO26" s="5">
        <f t="shared" si="40"/>
        <v>0</v>
      </c>
    </row>
    <row r="27" spans="1:171" ht="25.5" customHeight="1">
      <c r="B27" s="95"/>
      <c r="C27" s="12" t="s">
        <v>121</v>
      </c>
      <c r="D27" s="30">
        <v>2</v>
      </c>
      <c r="E27" s="58" t="s">
        <v>134</v>
      </c>
      <c r="F27" s="58" t="s">
        <v>111</v>
      </c>
      <c r="G27" s="58"/>
      <c r="H27" s="58" t="s">
        <v>130</v>
      </c>
      <c r="I27" s="58" t="s">
        <v>147</v>
      </c>
      <c r="J27" s="58"/>
      <c r="K27" s="58" t="s">
        <v>130</v>
      </c>
      <c r="L27" s="58" t="s">
        <v>115</v>
      </c>
      <c r="M27" s="58"/>
      <c r="N27" s="59" t="s">
        <v>122</v>
      </c>
      <c r="O27" s="42" t="s">
        <v>64</v>
      </c>
      <c r="P27" s="42"/>
      <c r="Q27" s="42" t="s">
        <v>143</v>
      </c>
      <c r="R27" s="42" t="s">
        <v>73</v>
      </c>
      <c r="S27" s="42" t="s">
        <v>53</v>
      </c>
      <c r="T27" s="50" t="s">
        <v>140</v>
      </c>
      <c r="U27" s="50" t="s">
        <v>207</v>
      </c>
      <c r="V27" s="50"/>
      <c r="W27" s="42" t="s">
        <v>159</v>
      </c>
      <c r="X27" s="42" t="s">
        <v>68</v>
      </c>
      <c r="Y27" s="42"/>
      <c r="Z27" s="51" t="s">
        <v>160</v>
      </c>
      <c r="AA27" s="51" t="s">
        <v>146</v>
      </c>
      <c r="AB27" s="51"/>
      <c r="AC27" s="51" t="s">
        <v>160</v>
      </c>
      <c r="AD27" s="51" t="s">
        <v>162</v>
      </c>
      <c r="AE27" s="51"/>
      <c r="AF27" s="51" t="s">
        <v>160</v>
      </c>
      <c r="AG27" s="51" t="s">
        <v>161</v>
      </c>
      <c r="AH27" s="51"/>
      <c r="AI27" s="42" t="s">
        <v>140</v>
      </c>
      <c r="AJ27" s="42" t="s">
        <v>109</v>
      </c>
      <c r="AK27" s="42"/>
      <c r="AL27" s="42" t="s">
        <v>126</v>
      </c>
      <c r="AM27" s="42" t="s">
        <v>66</v>
      </c>
      <c r="AN27" s="42"/>
      <c r="AO27" s="42" t="s">
        <v>126</v>
      </c>
      <c r="AP27" s="42" t="s">
        <v>84</v>
      </c>
      <c r="AQ27" s="42"/>
      <c r="AR27" s="42" t="s">
        <v>124</v>
      </c>
      <c r="AS27" s="42" t="s">
        <v>104</v>
      </c>
      <c r="AT27" s="42"/>
      <c r="AU27" s="71" t="s">
        <v>182</v>
      </c>
      <c r="AV27" s="71" t="s">
        <v>93</v>
      </c>
      <c r="AW27" s="71" t="s">
        <v>198</v>
      </c>
      <c r="AX27" s="42" t="s">
        <v>132</v>
      </c>
      <c r="AY27" s="42" t="s">
        <v>72</v>
      </c>
      <c r="AZ27" s="51"/>
      <c r="BA27" s="42" t="s">
        <v>124</v>
      </c>
      <c r="BB27" s="42" t="s">
        <v>105</v>
      </c>
      <c r="BC27" s="42"/>
      <c r="BD27" s="42" t="s">
        <v>125</v>
      </c>
      <c r="BE27" s="42" t="s">
        <v>77</v>
      </c>
      <c r="BF27" s="42"/>
      <c r="BG27" s="42" t="s">
        <v>124</v>
      </c>
      <c r="BH27" s="42" t="s">
        <v>69</v>
      </c>
      <c r="BI27" s="42" t="s">
        <v>57</v>
      </c>
      <c r="BJ27" s="68" t="s">
        <v>126</v>
      </c>
      <c r="BK27" s="68" t="s">
        <v>80</v>
      </c>
      <c r="BL27" s="68"/>
      <c r="BM27" s="42" t="s">
        <v>124</v>
      </c>
      <c r="BN27" s="42" t="s">
        <v>165</v>
      </c>
      <c r="BO27" s="42"/>
      <c r="BP27" s="42" t="s">
        <v>127</v>
      </c>
      <c r="BQ27" s="42" t="s">
        <v>151</v>
      </c>
      <c r="BR27" s="42"/>
      <c r="BS27" s="42" t="s">
        <v>130</v>
      </c>
      <c r="BT27" s="42" t="s">
        <v>135</v>
      </c>
      <c r="BU27" s="42" t="s">
        <v>118</v>
      </c>
      <c r="BV27" s="69" t="s">
        <v>124</v>
      </c>
      <c r="BW27" s="69" t="s">
        <v>67</v>
      </c>
      <c r="BX27" s="69"/>
      <c r="BY27" s="42" t="s">
        <v>125</v>
      </c>
      <c r="BZ27" s="42" t="s">
        <v>62</v>
      </c>
      <c r="CA27" s="42"/>
      <c r="CB27" s="42" t="s">
        <v>130</v>
      </c>
      <c r="CC27" s="42" t="s">
        <v>133</v>
      </c>
      <c r="CD27" s="42"/>
      <c r="CE27" s="42" t="s">
        <v>200</v>
      </c>
      <c r="CF27" s="42" t="s">
        <v>166</v>
      </c>
      <c r="CG27" s="42"/>
      <c r="CH27" s="71" t="s">
        <v>123</v>
      </c>
      <c r="CI27" s="71" t="s">
        <v>74</v>
      </c>
      <c r="CJ27" s="42" t="s">
        <v>198</v>
      </c>
      <c r="CK27" s="42" t="s">
        <v>164</v>
      </c>
      <c r="CL27" s="42" t="s">
        <v>149</v>
      </c>
      <c r="CM27" s="42" t="s">
        <v>153</v>
      </c>
      <c r="CN27" s="42" t="s">
        <v>131</v>
      </c>
      <c r="CO27" s="42" t="s">
        <v>71</v>
      </c>
      <c r="CP27" s="42"/>
      <c r="CQ27" s="53" t="s">
        <v>130</v>
      </c>
      <c r="CR27" s="53" t="s">
        <v>187</v>
      </c>
      <c r="CS27" s="53"/>
      <c r="CT27" s="42" t="s">
        <v>126</v>
      </c>
      <c r="CU27" s="42" t="s">
        <v>59</v>
      </c>
      <c r="CV27" s="42"/>
      <c r="CW27" s="42" t="s">
        <v>144</v>
      </c>
      <c r="CX27" s="42" t="s">
        <v>90</v>
      </c>
      <c r="CY27" s="42"/>
      <c r="CZ27" s="50" t="s">
        <v>122</v>
      </c>
      <c r="DA27" s="50" t="s">
        <v>70</v>
      </c>
      <c r="DB27" s="50"/>
      <c r="DC27" s="50" t="s">
        <v>122</v>
      </c>
      <c r="DD27" s="50" t="s">
        <v>136</v>
      </c>
      <c r="DE27" s="50"/>
      <c r="DF27" s="42" t="s">
        <v>55</v>
      </c>
      <c r="DG27" s="42"/>
      <c r="DH27" s="42" t="s">
        <v>95</v>
      </c>
      <c r="DI27" s="65"/>
      <c r="DJ27" s="63"/>
      <c r="DK27" s="5">
        <f t="shared" si="41"/>
        <v>1</v>
      </c>
      <c r="DL27" s="5">
        <f t="shared" si="42"/>
        <v>0</v>
      </c>
      <c r="DM27" s="5">
        <f t="shared" si="43"/>
        <v>1</v>
      </c>
      <c r="DN27" s="5">
        <f t="shared" si="4"/>
        <v>0</v>
      </c>
      <c r="DO27" s="5">
        <f t="shared" si="44"/>
        <v>1</v>
      </c>
      <c r="DP27" s="5">
        <f t="shared" si="45"/>
        <v>0</v>
      </c>
      <c r="DQ27" s="5">
        <f t="shared" si="5"/>
        <v>1</v>
      </c>
      <c r="DR27" s="5">
        <f t="shared" si="6"/>
        <v>0</v>
      </c>
      <c r="DS27" s="5">
        <f t="shared" si="46"/>
        <v>0</v>
      </c>
      <c r="DT27" s="5">
        <f t="shared" si="7"/>
        <v>1</v>
      </c>
      <c r="DU27" s="5">
        <f t="shared" si="47"/>
        <v>0</v>
      </c>
      <c r="DV27" s="5">
        <f t="shared" si="8"/>
        <v>1</v>
      </c>
      <c r="DW27" s="5">
        <f t="shared" si="48"/>
        <v>0</v>
      </c>
      <c r="DX27" s="5">
        <f t="shared" si="9"/>
        <v>1</v>
      </c>
      <c r="DY27" s="5">
        <f t="shared" si="49"/>
        <v>1</v>
      </c>
      <c r="DZ27" s="5">
        <f t="shared" si="10"/>
        <v>1</v>
      </c>
      <c r="EA27" s="5">
        <f t="shared" si="50"/>
        <v>1</v>
      </c>
      <c r="EB27" s="5">
        <f t="shared" si="11"/>
        <v>1</v>
      </c>
      <c r="EC27" s="5">
        <f t="shared" si="12"/>
        <v>1</v>
      </c>
      <c r="ED27" s="5">
        <f t="shared" si="13"/>
        <v>1</v>
      </c>
      <c r="EE27" s="5">
        <f t="shared" si="51"/>
        <v>1</v>
      </c>
      <c r="EF27" s="5">
        <f t="shared" si="14"/>
        <v>1</v>
      </c>
      <c r="EG27" s="5">
        <f t="shared" si="15"/>
        <v>1</v>
      </c>
      <c r="EH27" s="5">
        <f t="shared" si="52"/>
        <v>0</v>
      </c>
      <c r="EI27" s="5">
        <f t="shared" si="53"/>
        <v>0</v>
      </c>
      <c r="EJ27" s="5">
        <f t="shared" si="16"/>
        <v>0</v>
      </c>
      <c r="EK27" s="5">
        <f t="shared" si="17"/>
        <v>1</v>
      </c>
      <c r="EL27" s="5">
        <f t="shared" si="54"/>
        <v>0</v>
      </c>
      <c r="EM27" s="5">
        <f t="shared" si="18"/>
        <v>0</v>
      </c>
      <c r="EN27" s="5">
        <f t="shared" si="19"/>
        <v>1</v>
      </c>
      <c r="EO27" s="5">
        <f t="shared" si="20"/>
        <v>0</v>
      </c>
      <c r="EP27" s="5">
        <f t="shared" si="21"/>
        <v>1</v>
      </c>
      <c r="EQ27" s="5">
        <f t="shared" si="55"/>
        <v>0</v>
      </c>
      <c r="ER27" s="5">
        <f t="shared" si="22"/>
        <v>0</v>
      </c>
      <c r="ES27" s="5">
        <f t="shared" si="23"/>
        <v>1</v>
      </c>
      <c r="ET27" s="5">
        <f t="shared" si="24"/>
        <v>1</v>
      </c>
      <c r="EU27" s="5">
        <f t="shared" si="56"/>
        <v>1</v>
      </c>
      <c r="EV27" s="5">
        <f t="shared" si="57"/>
        <v>0</v>
      </c>
      <c r="EW27" s="5">
        <f t="shared" si="58"/>
        <v>1</v>
      </c>
      <c r="EX27" s="5">
        <f t="shared" si="25"/>
        <v>0</v>
      </c>
      <c r="EY27" s="5">
        <f t="shared" si="26"/>
        <v>0</v>
      </c>
      <c r="EZ27" s="5">
        <f t="shared" si="27"/>
        <v>0</v>
      </c>
      <c r="FA27" s="5">
        <f t="shared" si="28"/>
        <v>1</v>
      </c>
      <c r="FB27" s="5">
        <f t="shared" si="29"/>
        <v>0</v>
      </c>
      <c r="FC27" s="5">
        <f t="shared" si="30"/>
        <v>0</v>
      </c>
      <c r="FD27" s="5">
        <f t="shared" si="31"/>
        <v>1</v>
      </c>
      <c r="FE27" s="5">
        <f t="shared" si="32"/>
        <v>0</v>
      </c>
      <c r="FF27" s="5">
        <f t="shared" si="33"/>
        <v>1</v>
      </c>
      <c r="FG27" s="5">
        <f t="shared" si="34"/>
        <v>1</v>
      </c>
      <c r="FH27" s="5">
        <f t="shared" si="35"/>
        <v>0</v>
      </c>
      <c r="FI27" s="5">
        <f t="shared" si="36"/>
        <v>0</v>
      </c>
      <c r="FJ27" s="5">
        <f t="shared" si="59"/>
        <v>1</v>
      </c>
      <c r="FK27" s="5">
        <f t="shared" si="37"/>
        <v>1</v>
      </c>
      <c r="FL27" s="5">
        <f t="shared" si="38"/>
        <v>0</v>
      </c>
      <c r="FM27" s="5">
        <f t="shared" si="60"/>
        <v>0</v>
      </c>
      <c r="FN27" s="5">
        <f t="shared" si="39"/>
        <v>0</v>
      </c>
      <c r="FO27" s="5">
        <f t="shared" si="40"/>
        <v>0</v>
      </c>
    </row>
    <row r="28" spans="1:171" ht="25.5" customHeight="1">
      <c r="B28" s="95"/>
      <c r="C28" s="12" t="s">
        <v>145</v>
      </c>
      <c r="D28" s="30">
        <v>3</v>
      </c>
      <c r="E28" s="57" t="s">
        <v>127</v>
      </c>
      <c r="F28" s="57" t="s">
        <v>128</v>
      </c>
      <c r="G28" s="57"/>
      <c r="H28" s="57" t="s">
        <v>126</v>
      </c>
      <c r="I28" s="57" t="s">
        <v>129</v>
      </c>
      <c r="J28" s="57"/>
      <c r="K28" s="57" t="s">
        <v>124</v>
      </c>
      <c r="L28" s="57" t="s">
        <v>104</v>
      </c>
      <c r="M28" s="57"/>
      <c r="N28" s="50" t="s">
        <v>140</v>
      </c>
      <c r="O28" s="50" t="s">
        <v>207</v>
      </c>
      <c r="P28" s="50"/>
      <c r="Q28" s="42" t="s">
        <v>159</v>
      </c>
      <c r="R28" s="42" t="s">
        <v>68</v>
      </c>
      <c r="S28" s="42"/>
      <c r="T28" s="42" t="s">
        <v>143</v>
      </c>
      <c r="U28" s="42" t="s">
        <v>73</v>
      </c>
      <c r="V28" s="42" t="s">
        <v>53</v>
      </c>
      <c r="W28" s="42" t="s">
        <v>124</v>
      </c>
      <c r="X28" s="42" t="s">
        <v>58</v>
      </c>
      <c r="Y28" s="42"/>
      <c r="Z28" s="51" t="s">
        <v>160</v>
      </c>
      <c r="AA28" s="51" t="s">
        <v>146</v>
      </c>
      <c r="AB28" s="51"/>
      <c r="AC28" s="51" t="s">
        <v>160</v>
      </c>
      <c r="AD28" s="51" t="s">
        <v>162</v>
      </c>
      <c r="AE28" s="51"/>
      <c r="AF28" s="51" t="s">
        <v>160</v>
      </c>
      <c r="AG28" s="51" t="s">
        <v>161</v>
      </c>
      <c r="AH28" s="51"/>
      <c r="AI28" s="42" t="s">
        <v>132</v>
      </c>
      <c r="AJ28" s="42" t="s">
        <v>72</v>
      </c>
      <c r="AK28" s="42"/>
      <c r="AL28" s="42" t="s">
        <v>126</v>
      </c>
      <c r="AM28" s="42" t="s">
        <v>66</v>
      </c>
      <c r="AN28" s="42"/>
      <c r="AO28" s="42" t="s">
        <v>143</v>
      </c>
      <c r="AP28" s="42" t="s">
        <v>76</v>
      </c>
      <c r="AQ28" s="42" t="s">
        <v>53</v>
      </c>
      <c r="AR28" s="42" t="s">
        <v>126</v>
      </c>
      <c r="AS28" s="42" t="s">
        <v>108</v>
      </c>
      <c r="AT28" s="42"/>
      <c r="AU28" s="42" t="s">
        <v>125</v>
      </c>
      <c r="AV28" s="42" t="s">
        <v>77</v>
      </c>
      <c r="AW28" s="42"/>
      <c r="AX28" s="42" t="s">
        <v>126</v>
      </c>
      <c r="AY28" s="42" t="s">
        <v>106</v>
      </c>
      <c r="AZ28" s="42"/>
      <c r="BA28" s="51" t="s">
        <v>130</v>
      </c>
      <c r="BB28" s="51" t="s">
        <v>116</v>
      </c>
      <c r="BC28" s="51"/>
      <c r="BD28" s="42" t="s">
        <v>124</v>
      </c>
      <c r="BE28" s="42" t="s">
        <v>57</v>
      </c>
      <c r="BF28" s="42"/>
      <c r="BG28" s="42" t="s">
        <v>140</v>
      </c>
      <c r="BH28" s="42" t="s">
        <v>109</v>
      </c>
      <c r="BI28" s="42"/>
      <c r="BJ28" s="42" t="s">
        <v>127</v>
      </c>
      <c r="BK28" s="42" t="s">
        <v>151</v>
      </c>
      <c r="BL28" s="42"/>
      <c r="BM28" s="42" t="s">
        <v>130</v>
      </c>
      <c r="BN28" s="42" t="s">
        <v>201</v>
      </c>
      <c r="BO28" s="42" t="s">
        <v>111</v>
      </c>
      <c r="BP28" s="42" t="s">
        <v>125</v>
      </c>
      <c r="BQ28" s="42" t="s">
        <v>62</v>
      </c>
      <c r="BR28" s="42"/>
      <c r="BS28" s="42" t="s">
        <v>126</v>
      </c>
      <c r="BT28" s="42" t="s">
        <v>80</v>
      </c>
      <c r="BU28" s="42"/>
      <c r="BV28" s="42" t="s">
        <v>123</v>
      </c>
      <c r="BW28" s="42" t="s">
        <v>74</v>
      </c>
      <c r="BX28" s="42"/>
      <c r="BY28" s="72" t="s">
        <v>130</v>
      </c>
      <c r="BZ28" s="72" t="s">
        <v>133</v>
      </c>
      <c r="CA28" s="72" t="s">
        <v>113</v>
      </c>
      <c r="CB28" s="68" t="s">
        <v>124</v>
      </c>
      <c r="CC28" s="68" t="s">
        <v>67</v>
      </c>
      <c r="CD28" s="68"/>
      <c r="CE28" s="42" t="s">
        <v>130</v>
      </c>
      <c r="CF28" s="42" t="s">
        <v>115</v>
      </c>
      <c r="CG28" s="42"/>
      <c r="CH28" s="42" t="s">
        <v>137</v>
      </c>
      <c r="CI28" s="42" t="s">
        <v>138</v>
      </c>
      <c r="CJ28" s="42" t="s">
        <v>139</v>
      </c>
      <c r="CK28" s="42" t="s">
        <v>124</v>
      </c>
      <c r="CL28" s="42" t="s">
        <v>97</v>
      </c>
      <c r="CM28" s="42"/>
      <c r="CN28" s="68" t="s">
        <v>134</v>
      </c>
      <c r="CO28" s="68" t="s">
        <v>166</v>
      </c>
      <c r="CP28" s="68"/>
      <c r="CQ28" s="42" t="s">
        <v>170</v>
      </c>
      <c r="CR28" s="42" t="s">
        <v>171</v>
      </c>
      <c r="CS28" s="42"/>
      <c r="CT28" s="53" t="s">
        <v>130</v>
      </c>
      <c r="CU28" s="53" t="s">
        <v>187</v>
      </c>
      <c r="CV28" s="53"/>
      <c r="CW28" s="53" t="s">
        <v>156</v>
      </c>
      <c r="CX28" s="53" t="s">
        <v>157</v>
      </c>
      <c r="CY28" s="53"/>
      <c r="CZ28" s="50" t="s">
        <v>122</v>
      </c>
      <c r="DA28" s="50" t="s">
        <v>70</v>
      </c>
      <c r="DB28" s="50"/>
      <c r="DC28" s="50" t="s">
        <v>122</v>
      </c>
      <c r="DD28" s="50" t="s">
        <v>136</v>
      </c>
      <c r="DE28" s="50"/>
      <c r="DF28" s="42" t="s">
        <v>55</v>
      </c>
      <c r="DG28" s="42"/>
      <c r="DH28" s="42" t="s">
        <v>95</v>
      </c>
      <c r="DI28" s="65"/>
      <c r="DJ28" s="63"/>
      <c r="DK28" s="5">
        <f t="shared" si="41"/>
        <v>2</v>
      </c>
      <c r="DL28" s="5">
        <f t="shared" si="42"/>
        <v>0</v>
      </c>
      <c r="DM28" s="5">
        <f t="shared" si="43"/>
        <v>1</v>
      </c>
      <c r="DN28" s="5">
        <f t="shared" si="4"/>
        <v>0</v>
      </c>
      <c r="DO28" s="5">
        <f t="shared" si="44"/>
        <v>1</v>
      </c>
      <c r="DP28" s="5">
        <f t="shared" si="45"/>
        <v>1</v>
      </c>
      <c r="DQ28" s="5">
        <f t="shared" si="5"/>
        <v>0</v>
      </c>
      <c r="DR28" s="5">
        <f t="shared" si="6"/>
        <v>0</v>
      </c>
      <c r="DS28" s="5">
        <f t="shared" si="46"/>
        <v>0</v>
      </c>
      <c r="DT28" s="5">
        <f t="shared" si="7"/>
        <v>1</v>
      </c>
      <c r="DU28" s="5">
        <f t="shared" si="47"/>
        <v>0</v>
      </c>
      <c r="DV28" s="5">
        <f t="shared" si="8"/>
        <v>0</v>
      </c>
      <c r="DW28" s="5">
        <f t="shared" si="48"/>
        <v>0</v>
      </c>
      <c r="DX28" s="5">
        <f t="shared" si="9"/>
        <v>1</v>
      </c>
      <c r="DY28" s="5">
        <f t="shared" si="49"/>
        <v>1</v>
      </c>
      <c r="DZ28" s="5">
        <f t="shared" si="10"/>
        <v>1</v>
      </c>
      <c r="EA28" s="5">
        <f t="shared" si="50"/>
        <v>0</v>
      </c>
      <c r="EB28" s="5">
        <f t="shared" si="11"/>
        <v>1</v>
      </c>
      <c r="EC28" s="5">
        <f t="shared" si="12"/>
        <v>0</v>
      </c>
      <c r="ED28" s="5">
        <f t="shared" si="13"/>
        <v>1</v>
      </c>
      <c r="EE28" s="5">
        <f t="shared" si="51"/>
        <v>1</v>
      </c>
      <c r="EF28" s="5">
        <f t="shared" si="14"/>
        <v>2</v>
      </c>
      <c r="EG28" s="5">
        <f t="shared" si="15"/>
        <v>1</v>
      </c>
      <c r="EH28" s="5">
        <f t="shared" si="52"/>
        <v>0</v>
      </c>
      <c r="EI28" s="5">
        <f t="shared" si="53"/>
        <v>1</v>
      </c>
      <c r="EJ28" s="5">
        <f t="shared" si="16"/>
        <v>0</v>
      </c>
      <c r="EK28" s="5">
        <f t="shared" si="17"/>
        <v>1</v>
      </c>
      <c r="EL28" s="5">
        <f t="shared" si="54"/>
        <v>0</v>
      </c>
      <c r="EM28" s="5">
        <f t="shared" si="18"/>
        <v>0</v>
      </c>
      <c r="EN28" s="5">
        <f t="shared" si="19"/>
        <v>1</v>
      </c>
      <c r="EO28" s="5">
        <f t="shared" si="20"/>
        <v>0</v>
      </c>
      <c r="EP28" s="5">
        <f t="shared" si="21"/>
        <v>1</v>
      </c>
      <c r="EQ28" s="5">
        <f t="shared" si="55"/>
        <v>1</v>
      </c>
      <c r="ER28" s="5">
        <f t="shared" si="22"/>
        <v>0</v>
      </c>
      <c r="ES28" s="5">
        <f t="shared" si="23"/>
        <v>0</v>
      </c>
      <c r="ET28" s="5">
        <f t="shared" si="24"/>
        <v>0</v>
      </c>
      <c r="EU28" s="5">
        <f t="shared" si="56"/>
        <v>1</v>
      </c>
      <c r="EV28" s="5">
        <f t="shared" si="57"/>
        <v>0</v>
      </c>
      <c r="EW28" s="5">
        <f t="shared" si="58"/>
        <v>1</v>
      </c>
      <c r="EX28" s="5">
        <f t="shared" si="25"/>
        <v>0</v>
      </c>
      <c r="EY28" s="5">
        <f t="shared" si="26"/>
        <v>0</v>
      </c>
      <c r="EZ28" s="5">
        <f t="shared" si="27"/>
        <v>0</v>
      </c>
      <c r="FA28" s="5">
        <f t="shared" si="28"/>
        <v>0</v>
      </c>
      <c r="FB28" s="5">
        <f t="shared" si="29"/>
        <v>0</v>
      </c>
      <c r="FC28" s="5">
        <f t="shared" si="30"/>
        <v>0</v>
      </c>
      <c r="FD28" s="5">
        <f t="shared" si="31"/>
        <v>0</v>
      </c>
      <c r="FE28" s="5">
        <f t="shared" si="32"/>
        <v>0</v>
      </c>
      <c r="FF28" s="5">
        <f t="shared" si="33"/>
        <v>1</v>
      </c>
      <c r="FG28" s="5">
        <f t="shared" si="34"/>
        <v>0</v>
      </c>
      <c r="FH28" s="5">
        <f t="shared" si="35"/>
        <v>0</v>
      </c>
      <c r="FI28" s="5">
        <f t="shared" si="36"/>
        <v>0</v>
      </c>
      <c r="FJ28" s="5">
        <f t="shared" si="59"/>
        <v>1</v>
      </c>
      <c r="FK28" s="5">
        <f t="shared" si="37"/>
        <v>1</v>
      </c>
      <c r="FL28" s="5">
        <f t="shared" si="38"/>
        <v>1</v>
      </c>
      <c r="FM28" s="5">
        <f t="shared" si="60"/>
        <v>1</v>
      </c>
      <c r="FN28" s="5">
        <f t="shared" si="39"/>
        <v>0</v>
      </c>
      <c r="FO28" s="5">
        <f t="shared" si="40"/>
        <v>0</v>
      </c>
    </row>
    <row r="29" spans="1:171" ht="25.5" customHeight="1">
      <c r="B29" s="95"/>
      <c r="C29" s="12" t="s">
        <v>154</v>
      </c>
      <c r="D29" s="30">
        <v>4</v>
      </c>
      <c r="E29" s="42" t="s">
        <v>127</v>
      </c>
      <c r="F29" s="42" t="s">
        <v>128</v>
      </c>
      <c r="G29" s="42"/>
      <c r="H29" s="42" t="s">
        <v>126</v>
      </c>
      <c r="I29" s="42" t="s">
        <v>129</v>
      </c>
      <c r="J29" s="42"/>
      <c r="K29" s="42" t="s">
        <v>124</v>
      </c>
      <c r="L29" s="42" t="s">
        <v>104</v>
      </c>
      <c r="M29" s="42"/>
      <c r="N29" s="42" t="s">
        <v>159</v>
      </c>
      <c r="O29" s="42" t="s">
        <v>68</v>
      </c>
      <c r="P29" s="42"/>
      <c r="Q29" s="50" t="s">
        <v>140</v>
      </c>
      <c r="R29" s="50" t="s">
        <v>207</v>
      </c>
      <c r="S29" s="50"/>
      <c r="T29" s="42" t="s">
        <v>143</v>
      </c>
      <c r="U29" s="42" t="s">
        <v>73</v>
      </c>
      <c r="V29" s="42" t="s">
        <v>53</v>
      </c>
      <c r="W29" s="42" t="s">
        <v>124</v>
      </c>
      <c r="X29" s="42" t="s">
        <v>58</v>
      </c>
      <c r="Y29" s="42"/>
      <c r="Z29" s="42" t="s">
        <v>122</v>
      </c>
      <c r="AA29" s="42" t="s">
        <v>71</v>
      </c>
      <c r="AB29" s="42"/>
      <c r="AC29" s="42" t="s">
        <v>123</v>
      </c>
      <c r="AD29" s="42" t="s">
        <v>88</v>
      </c>
      <c r="AE29" s="42"/>
      <c r="AF29" s="42" t="s">
        <v>210</v>
      </c>
      <c r="AG29" s="42" t="s">
        <v>91</v>
      </c>
      <c r="AH29" s="42" t="s">
        <v>87</v>
      </c>
      <c r="AI29" s="42" t="s">
        <v>126</v>
      </c>
      <c r="AJ29" s="42" t="s">
        <v>108</v>
      </c>
      <c r="AK29" s="42"/>
      <c r="AL29" s="42" t="s">
        <v>132</v>
      </c>
      <c r="AM29" s="42" t="s">
        <v>72</v>
      </c>
      <c r="AN29" s="42"/>
      <c r="AO29" s="42" t="s">
        <v>143</v>
      </c>
      <c r="AP29" s="42" t="s">
        <v>76</v>
      </c>
      <c r="AQ29" s="42" t="s">
        <v>53</v>
      </c>
      <c r="AR29" s="42" t="s">
        <v>123</v>
      </c>
      <c r="AS29" s="42" t="s">
        <v>74</v>
      </c>
      <c r="AT29" s="42"/>
      <c r="AU29" s="42" t="s">
        <v>125</v>
      </c>
      <c r="AV29" s="42" t="s">
        <v>77</v>
      </c>
      <c r="AW29" s="42"/>
      <c r="AX29" s="42" t="s">
        <v>126</v>
      </c>
      <c r="AY29" s="42" t="s">
        <v>106</v>
      </c>
      <c r="AZ29" s="42"/>
      <c r="BA29" s="51" t="s">
        <v>130</v>
      </c>
      <c r="BB29" s="51" t="s">
        <v>116</v>
      </c>
      <c r="BC29" s="51"/>
      <c r="BD29" s="42" t="s">
        <v>124</v>
      </c>
      <c r="BE29" s="42" t="s">
        <v>57</v>
      </c>
      <c r="BF29" s="42"/>
      <c r="BG29" s="42" t="s">
        <v>140</v>
      </c>
      <c r="BH29" s="42" t="s">
        <v>109</v>
      </c>
      <c r="BI29" s="42"/>
      <c r="BJ29" s="42" t="s">
        <v>127</v>
      </c>
      <c r="BK29" s="42" t="s">
        <v>151</v>
      </c>
      <c r="BL29" s="42"/>
      <c r="BM29" s="42" t="s">
        <v>130</v>
      </c>
      <c r="BN29" s="42" t="s">
        <v>201</v>
      </c>
      <c r="BO29" s="42" t="s">
        <v>111</v>
      </c>
      <c r="BP29" s="42" t="s">
        <v>125</v>
      </c>
      <c r="BQ29" s="42" t="s">
        <v>62</v>
      </c>
      <c r="BR29" s="42"/>
      <c r="BS29" s="42" t="s">
        <v>122</v>
      </c>
      <c r="BT29" s="42" t="s">
        <v>64</v>
      </c>
      <c r="BU29" s="42"/>
      <c r="BV29" s="72" t="s">
        <v>183</v>
      </c>
      <c r="BW29" s="72" t="s">
        <v>60</v>
      </c>
      <c r="BX29" s="72"/>
      <c r="BY29" s="72" t="s">
        <v>130</v>
      </c>
      <c r="BZ29" s="72" t="s">
        <v>133</v>
      </c>
      <c r="CA29" s="72" t="s">
        <v>113</v>
      </c>
      <c r="CB29" s="68" t="s">
        <v>124</v>
      </c>
      <c r="CC29" s="68" t="s">
        <v>67</v>
      </c>
      <c r="CD29" s="68"/>
      <c r="CE29" s="42" t="s">
        <v>130</v>
      </c>
      <c r="CF29" s="42" t="s">
        <v>115</v>
      </c>
      <c r="CG29" s="42"/>
      <c r="CH29" s="42" t="s">
        <v>137</v>
      </c>
      <c r="CI29" s="42" t="s">
        <v>138</v>
      </c>
      <c r="CJ29" s="42" t="s">
        <v>139</v>
      </c>
      <c r="CK29" s="42" t="s">
        <v>124</v>
      </c>
      <c r="CL29" s="42" t="s">
        <v>97</v>
      </c>
      <c r="CM29" s="42"/>
      <c r="CN29" s="68" t="s">
        <v>134</v>
      </c>
      <c r="CO29" s="68" t="s">
        <v>166</v>
      </c>
      <c r="CP29" s="68"/>
      <c r="CQ29" s="42" t="s">
        <v>170</v>
      </c>
      <c r="CR29" s="42" t="s">
        <v>171</v>
      </c>
      <c r="CS29" s="42"/>
      <c r="CT29" s="53" t="s">
        <v>130</v>
      </c>
      <c r="CU29" s="53" t="s">
        <v>187</v>
      </c>
      <c r="CV29" s="53"/>
      <c r="CW29" s="53" t="s">
        <v>156</v>
      </c>
      <c r="CX29" s="53" t="s">
        <v>157</v>
      </c>
      <c r="CY29" s="53"/>
      <c r="CZ29" s="50" t="s">
        <v>122</v>
      </c>
      <c r="DA29" s="50" t="s">
        <v>136</v>
      </c>
      <c r="DB29" s="50"/>
      <c r="DC29" s="50" t="s">
        <v>122</v>
      </c>
      <c r="DD29" s="50" t="s">
        <v>70</v>
      </c>
      <c r="DE29" s="50"/>
      <c r="DF29" s="42" t="s">
        <v>55</v>
      </c>
      <c r="DG29" s="42"/>
      <c r="DH29" s="42"/>
      <c r="DI29" s="65"/>
      <c r="DJ29" s="63"/>
      <c r="DK29" s="5">
        <f t="shared" si="41"/>
        <v>2</v>
      </c>
      <c r="DL29" s="5">
        <f t="shared" si="42"/>
        <v>0</v>
      </c>
      <c r="DM29" s="5">
        <f t="shared" si="43"/>
        <v>1</v>
      </c>
      <c r="DN29" s="5">
        <f t="shared" si="4"/>
        <v>0</v>
      </c>
      <c r="DO29" s="5">
        <f t="shared" si="44"/>
        <v>1</v>
      </c>
      <c r="DP29" s="5">
        <f t="shared" si="45"/>
        <v>1</v>
      </c>
      <c r="DQ29" s="5">
        <f t="shared" si="5"/>
        <v>0</v>
      </c>
      <c r="DR29" s="5">
        <f t="shared" si="6"/>
        <v>1</v>
      </c>
      <c r="DS29" s="5">
        <f t="shared" si="46"/>
        <v>0</v>
      </c>
      <c r="DT29" s="5">
        <f t="shared" si="7"/>
        <v>1</v>
      </c>
      <c r="DU29" s="5">
        <f t="shared" si="47"/>
        <v>0</v>
      </c>
      <c r="DV29" s="5">
        <f t="shared" si="8"/>
        <v>1</v>
      </c>
      <c r="DW29" s="5">
        <f t="shared" si="48"/>
        <v>0</v>
      </c>
      <c r="DX29" s="5">
        <f t="shared" si="9"/>
        <v>0</v>
      </c>
      <c r="DY29" s="5">
        <f t="shared" si="49"/>
        <v>1</v>
      </c>
      <c r="DZ29" s="5">
        <f t="shared" si="10"/>
        <v>1</v>
      </c>
      <c r="EA29" s="5">
        <f t="shared" si="50"/>
        <v>0</v>
      </c>
      <c r="EB29" s="5">
        <f t="shared" si="11"/>
        <v>1</v>
      </c>
      <c r="EC29" s="5">
        <f t="shared" si="12"/>
        <v>1</v>
      </c>
      <c r="ED29" s="5">
        <f t="shared" si="13"/>
        <v>1</v>
      </c>
      <c r="EE29" s="5">
        <f t="shared" si="51"/>
        <v>1</v>
      </c>
      <c r="EF29" s="5">
        <f t="shared" si="14"/>
        <v>2</v>
      </c>
      <c r="EG29" s="5">
        <f t="shared" si="15"/>
        <v>1</v>
      </c>
      <c r="EH29" s="5">
        <f t="shared" si="52"/>
        <v>0</v>
      </c>
      <c r="EI29" s="5">
        <f t="shared" si="53"/>
        <v>1</v>
      </c>
      <c r="EJ29" s="5">
        <f t="shared" si="16"/>
        <v>0</v>
      </c>
      <c r="EK29" s="5">
        <f t="shared" si="17"/>
        <v>1</v>
      </c>
      <c r="EL29" s="5">
        <f t="shared" si="54"/>
        <v>0</v>
      </c>
      <c r="EM29" s="5">
        <f t="shared" si="18"/>
        <v>0</v>
      </c>
      <c r="EN29" s="5">
        <f t="shared" si="19"/>
        <v>0</v>
      </c>
      <c r="EO29" s="5">
        <f t="shared" si="20"/>
        <v>0</v>
      </c>
      <c r="EP29" s="5">
        <f t="shared" si="21"/>
        <v>1</v>
      </c>
      <c r="EQ29" s="5">
        <f t="shared" si="55"/>
        <v>1</v>
      </c>
      <c r="ER29" s="5">
        <f t="shared" si="22"/>
        <v>0</v>
      </c>
      <c r="ES29" s="5">
        <f t="shared" si="23"/>
        <v>0</v>
      </c>
      <c r="ET29" s="5">
        <f t="shared" si="24"/>
        <v>0</v>
      </c>
      <c r="EU29" s="5">
        <f t="shared" si="56"/>
        <v>0</v>
      </c>
      <c r="EV29" s="5">
        <f t="shared" si="57"/>
        <v>0</v>
      </c>
      <c r="EW29" s="5">
        <f t="shared" si="58"/>
        <v>1</v>
      </c>
      <c r="EX29" s="5">
        <f t="shared" si="25"/>
        <v>1</v>
      </c>
      <c r="EY29" s="5">
        <f t="shared" si="26"/>
        <v>1</v>
      </c>
      <c r="EZ29" s="5">
        <f t="shared" si="27"/>
        <v>0</v>
      </c>
      <c r="FA29" s="5">
        <f t="shared" si="28"/>
        <v>0</v>
      </c>
      <c r="FB29" s="5">
        <f t="shared" si="29"/>
        <v>1</v>
      </c>
      <c r="FC29" s="5">
        <f t="shared" si="30"/>
        <v>0</v>
      </c>
      <c r="FD29" s="5">
        <f t="shared" si="31"/>
        <v>0</v>
      </c>
      <c r="FE29" s="5">
        <f t="shared" si="32"/>
        <v>0</v>
      </c>
      <c r="FF29" s="5">
        <f t="shared" si="33"/>
        <v>0</v>
      </c>
      <c r="FG29" s="5">
        <f t="shared" si="34"/>
        <v>1</v>
      </c>
      <c r="FH29" s="5">
        <f t="shared" si="35"/>
        <v>0</v>
      </c>
      <c r="FI29" s="5">
        <f t="shared" si="36"/>
        <v>0</v>
      </c>
      <c r="FJ29" s="5">
        <f t="shared" si="59"/>
        <v>1</v>
      </c>
      <c r="FK29" s="5">
        <f t="shared" si="37"/>
        <v>0</v>
      </c>
      <c r="FL29" s="5">
        <f t="shared" si="38"/>
        <v>1</v>
      </c>
      <c r="FM29" s="5">
        <f t="shared" si="60"/>
        <v>1</v>
      </c>
      <c r="FN29" s="5">
        <f t="shared" si="39"/>
        <v>1</v>
      </c>
      <c r="FO29" s="5">
        <f t="shared" si="40"/>
        <v>0</v>
      </c>
    </row>
    <row r="30" spans="1:171" ht="25.5" customHeight="1">
      <c r="B30" s="95"/>
      <c r="C30" s="12" t="s">
        <v>158</v>
      </c>
      <c r="D30" s="30">
        <v>5</v>
      </c>
      <c r="E30" s="42" t="s">
        <v>126</v>
      </c>
      <c r="F30" s="42" t="s">
        <v>129</v>
      </c>
      <c r="G30" s="42"/>
      <c r="H30" s="42" t="s">
        <v>127</v>
      </c>
      <c r="I30" s="42" t="s">
        <v>128</v>
      </c>
      <c r="J30" s="42"/>
      <c r="K30" s="42" t="s">
        <v>126</v>
      </c>
      <c r="L30" s="42" t="s">
        <v>106</v>
      </c>
      <c r="M30" s="42"/>
      <c r="N30" s="51" t="s">
        <v>130</v>
      </c>
      <c r="O30" s="51" t="s">
        <v>113</v>
      </c>
      <c r="P30" s="51"/>
      <c r="Q30" s="51" t="s">
        <v>130</v>
      </c>
      <c r="R30" s="51" t="s">
        <v>115</v>
      </c>
      <c r="S30" s="51"/>
      <c r="T30" s="51" t="s">
        <v>148</v>
      </c>
      <c r="U30" s="51" t="s">
        <v>147</v>
      </c>
      <c r="V30" s="51"/>
      <c r="W30" s="51" t="s">
        <v>130</v>
      </c>
      <c r="X30" s="51" t="s">
        <v>107</v>
      </c>
      <c r="Y30" s="51"/>
      <c r="Z30" s="42" t="s">
        <v>126</v>
      </c>
      <c r="AA30" s="42" t="s">
        <v>108</v>
      </c>
      <c r="AB30" s="42"/>
      <c r="AC30" s="42" t="s">
        <v>143</v>
      </c>
      <c r="AD30" s="42" t="s">
        <v>73</v>
      </c>
      <c r="AE30" s="42"/>
      <c r="AF30" s="42" t="s">
        <v>125</v>
      </c>
      <c r="AG30" s="42" t="s">
        <v>81</v>
      </c>
      <c r="AH30" s="42"/>
      <c r="AI30" s="42" t="s">
        <v>124</v>
      </c>
      <c r="AJ30" s="42" t="s">
        <v>57</v>
      </c>
      <c r="AK30" s="42"/>
      <c r="AL30" s="42" t="s">
        <v>124</v>
      </c>
      <c r="AM30" s="42" t="s">
        <v>104</v>
      </c>
      <c r="AN30" s="42"/>
      <c r="AO30" s="50" t="s">
        <v>194</v>
      </c>
      <c r="AP30" s="50" t="s">
        <v>197</v>
      </c>
      <c r="AQ30" s="50" t="s">
        <v>87</v>
      </c>
      <c r="AR30" s="50" t="s">
        <v>194</v>
      </c>
      <c r="AS30" s="50" t="s">
        <v>92</v>
      </c>
      <c r="AT30" s="50" t="s">
        <v>55</v>
      </c>
      <c r="AU30" s="71" t="s">
        <v>199</v>
      </c>
      <c r="AV30" s="71" t="s">
        <v>64</v>
      </c>
      <c r="AW30" s="71"/>
      <c r="AX30" s="71" t="s">
        <v>123</v>
      </c>
      <c r="AY30" s="71" t="s">
        <v>74</v>
      </c>
      <c r="AZ30" s="71"/>
      <c r="BA30" s="42" t="s">
        <v>211</v>
      </c>
      <c r="BB30" s="42" t="s">
        <v>56</v>
      </c>
      <c r="BC30" s="42"/>
      <c r="BD30" s="51" t="s">
        <v>141</v>
      </c>
      <c r="BE30" s="51" t="s">
        <v>118</v>
      </c>
      <c r="BF30" s="51"/>
      <c r="BG30" s="51" t="s">
        <v>160</v>
      </c>
      <c r="BH30" s="51" t="s">
        <v>150</v>
      </c>
      <c r="BI30" s="51"/>
      <c r="BJ30" s="42" t="s">
        <v>200</v>
      </c>
      <c r="BK30" s="42" t="s">
        <v>166</v>
      </c>
      <c r="BL30" s="42"/>
      <c r="BM30" s="42" t="s">
        <v>143</v>
      </c>
      <c r="BN30" s="42" t="s">
        <v>184</v>
      </c>
      <c r="BO30" s="42" t="s">
        <v>54</v>
      </c>
      <c r="BP30" s="42" t="s">
        <v>134</v>
      </c>
      <c r="BQ30" s="42" t="s">
        <v>135</v>
      </c>
      <c r="BR30" s="42" t="s">
        <v>71</v>
      </c>
      <c r="BS30" s="42" t="s">
        <v>125</v>
      </c>
      <c r="BT30" s="42" t="s">
        <v>62</v>
      </c>
      <c r="BU30" s="42"/>
      <c r="BV30" s="42" t="s">
        <v>126</v>
      </c>
      <c r="BW30" s="42" t="s">
        <v>80</v>
      </c>
      <c r="BX30" s="42"/>
      <c r="BY30" s="42" t="s">
        <v>124</v>
      </c>
      <c r="BZ30" s="42" t="s">
        <v>67</v>
      </c>
      <c r="CA30" s="42"/>
      <c r="CB30" s="42" t="s">
        <v>183</v>
      </c>
      <c r="CC30" s="42" t="s">
        <v>60</v>
      </c>
      <c r="CD30" s="42"/>
      <c r="CE30" s="68" t="s">
        <v>126</v>
      </c>
      <c r="CF30" s="68" t="s">
        <v>66</v>
      </c>
      <c r="CG30" s="68"/>
      <c r="CH30" s="71" t="s">
        <v>132</v>
      </c>
      <c r="CI30" s="71" t="s">
        <v>72</v>
      </c>
      <c r="CJ30" s="71"/>
      <c r="CK30" s="42" t="s">
        <v>176</v>
      </c>
      <c r="CL30" s="42" t="s">
        <v>133</v>
      </c>
      <c r="CM30" s="42" t="s">
        <v>153</v>
      </c>
      <c r="CN30" s="42" t="s">
        <v>126</v>
      </c>
      <c r="CO30" s="42" t="s">
        <v>83</v>
      </c>
      <c r="CP30" s="42"/>
      <c r="CQ30" s="53" t="s">
        <v>126</v>
      </c>
      <c r="CR30" s="53" t="s">
        <v>59</v>
      </c>
      <c r="CS30" s="42"/>
      <c r="CT30" s="54" t="s">
        <v>170</v>
      </c>
      <c r="CU30" s="54" t="s">
        <v>171</v>
      </c>
      <c r="CV30" s="54"/>
      <c r="CW30" s="53" t="s">
        <v>168</v>
      </c>
      <c r="CX30" s="53" t="s">
        <v>119</v>
      </c>
      <c r="CY30" s="53"/>
      <c r="CZ30" s="53" t="s">
        <v>156</v>
      </c>
      <c r="DA30" s="53" t="s">
        <v>157</v>
      </c>
      <c r="DB30" s="53"/>
      <c r="DC30" s="53" t="s">
        <v>148</v>
      </c>
      <c r="DD30" s="53" t="s">
        <v>187</v>
      </c>
      <c r="DE30" s="53"/>
      <c r="DF30" s="42"/>
      <c r="DG30" s="42"/>
      <c r="DH30" s="42"/>
      <c r="DI30" s="65" t="s">
        <v>84</v>
      </c>
      <c r="DJ30" s="63"/>
      <c r="DK30" s="5">
        <f t="shared" si="41"/>
        <v>0</v>
      </c>
      <c r="DL30" s="5">
        <f t="shared" si="42"/>
        <v>1</v>
      </c>
      <c r="DM30" s="5">
        <f t="shared" si="43"/>
        <v>1</v>
      </c>
      <c r="DN30" s="5">
        <f t="shared" si="4"/>
        <v>1</v>
      </c>
      <c r="DO30" s="5">
        <f t="shared" si="44"/>
        <v>1</v>
      </c>
      <c r="DP30" s="5">
        <f t="shared" si="45"/>
        <v>0</v>
      </c>
      <c r="DQ30" s="5">
        <f t="shared" si="5"/>
        <v>1</v>
      </c>
      <c r="DR30" s="5">
        <f t="shared" si="6"/>
        <v>1</v>
      </c>
      <c r="DS30" s="5">
        <f t="shared" si="46"/>
        <v>0</v>
      </c>
      <c r="DT30" s="5">
        <f t="shared" si="7"/>
        <v>1</v>
      </c>
      <c r="DU30" s="5">
        <f t="shared" si="47"/>
        <v>0</v>
      </c>
      <c r="DV30" s="5">
        <f t="shared" si="8"/>
        <v>1</v>
      </c>
      <c r="DW30" s="5">
        <f t="shared" si="48"/>
        <v>0</v>
      </c>
      <c r="DX30" s="5">
        <f t="shared" si="9"/>
        <v>1</v>
      </c>
      <c r="DY30" s="5">
        <f t="shared" si="49"/>
        <v>1</v>
      </c>
      <c r="DZ30" s="5">
        <f t="shared" si="10"/>
        <v>0</v>
      </c>
      <c r="EA30" s="5">
        <f t="shared" si="50"/>
        <v>0</v>
      </c>
      <c r="EB30" s="5">
        <f t="shared" si="11"/>
        <v>0</v>
      </c>
      <c r="EC30" s="5">
        <f t="shared" si="12"/>
        <v>1</v>
      </c>
      <c r="ED30" s="5">
        <f t="shared" si="13"/>
        <v>1</v>
      </c>
      <c r="EE30" s="5">
        <f t="shared" si="51"/>
        <v>1</v>
      </c>
      <c r="EF30" s="5">
        <f t="shared" si="14"/>
        <v>0</v>
      </c>
      <c r="EG30" s="5">
        <f t="shared" si="15"/>
        <v>1</v>
      </c>
      <c r="EH30" s="5">
        <f t="shared" si="52"/>
        <v>0</v>
      </c>
      <c r="EI30" s="5">
        <f t="shared" si="53"/>
        <v>0</v>
      </c>
      <c r="EJ30" s="5">
        <f t="shared" si="16"/>
        <v>0</v>
      </c>
      <c r="EK30" s="5">
        <f t="shared" si="17"/>
        <v>0</v>
      </c>
      <c r="EL30" s="5">
        <f t="shared" si="54"/>
        <v>0</v>
      </c>
      <c r="EM30" s="5">
        <f t="shared" si="18"/>
        <v>0</v>
      </c>
      <c r="EN30" s="5">
        <f t="shared" si="19"/>
        <v>1</v>
      </c>
      <c r="EO30" s="5">
        <f t="shared" si="20"/>
        <v>1</v>
      </c>
      <c r="EP30" s="5">
        <f t="shared" si="21"/>
        <v>0</v>
      </c>
      <c r="EQ30" s="5">
        <f t="shared" si="55"/>
        <v>1</v>
      </c>
      <c r="ER30" s="5">
        <f t="shared" si="22"/>
        <v>1</v>
      </c>
      <c r="ES30" s="5">
        <f t="shared" si="23"/>
        <v>1</v>
      </c>
      <c r="ET30" s="5">
        <f t="shared" si="24"/>
        <v>1</v>
      </c>
      <c r="EU30" s="5">
        <f t="shared" si="56"/>
        <v>1</v>
      </c>
      <c r="EV30" s="5">
        <f t="shared" si="57"/>
        <v>0</v>
      </c>
      <c r="EW30" s="5">
        <f t="shared" si="58"/>
        <v>1</v>
      </c>
      <c r="EX30" s="5">
        <f t="shared" si="25"/>
        <v>1</v>
      </c>
      <c r="EY30" s="5">
        <f t="shared" si="26"/>
        <v>0</v>
      </c>
      <c r="EZ30" s="5">
        <f t="shared" si="27"/>
        <v>0</v>
      </c>
      <c r="FA30" s="5">
        <f t="shared" si="28"/>
        <v>0</v>
      </c>
      <c r="FB30" s="5">
        <f t="shared" si="29"/>
        <v>0</v>
      </c>
      <c r="FC30" s="5">
        <f t="shared" si="30"/>
        <v>1</v>
      </c>
      <c r="FD30" s="5">
        <f t="shared" si="31"/>
        <v>0</v>
      </c>
      <c r="FE30" s="5">
        <f t="shared" si="32"/>
        <v>0</v>
      </c>
      <c r="FF30" s="5">
        <f t="shared" si="33"/>
        <v>0</v>
      </c>
      <c r="FG30" s="5">
        <f t="shared" si="34"/>
        <v>1</v>
      </c>
      <c r="FH30" s="5">
        <f t="shared" si="35"/>
        <v>0</v>
      </c>
      <c r="FI30" s="5">
        <f t="shared" si="36"/>
        <v>0</v>
      </c>
      <c r="FJ30" s="5">
        <f t="shared" si="59"/>
        <v>0</v>
      </c>
      <c r="FK30" s="5">
        <f t="shared" si="37"/>
        <v>1</v>
      </c>
      <c r="FL30" s="5">
        <f t="shared" si="38"/>
        <v>0</v>
      </c>
      <c r="FM30" s="5">
        <f t="shared" si="60"/>
        <v>0</v>
      </c>
      <c r="FN30" s="5">
        <f t="shared" si="39"/>
        <v>0</v>
      </c>
      <c r="FO30" s="5">
        <f t="shared" si="40"/>
        <v>0</v>
      </c>
    </row>
    <row r="31" spans="1:171" ht="25.5" customHeight="1">
      <c r="B31" s="95"/>
      <c r="C31" s="12" t="s">
        <v>172</v>
      </c>
      <c r="D31" s="30">
        <v>6</v>
      </c>
      <c r="E31" s="42" t="s">
        <v>126</v>
      </c>
      <c r="F31" s="42" t="s">
        <v>129</v>
      </c>
      <c r="G31" s="42"/>
      <c r="H31" s="42" t="s">
        <v>127</v>
      </c>
      <c r="I31" s="42" t="s">
        <v>128</v>
      </c>
      <c r="J31" s="42"/>
      <c r="K31" s="42" t="s">
        <v>126</v>
      </c>
      <c r="L31" s="42" t="s">
        <v>106</v>
      </c>
      <c r="M31" s="42"/>
      <c r="N31" s="51" t="s">
        <v>130</v>
      </c>
      <c r="O31" s="51" t="s">
        <v>113</v>
      </c>
      <c r="P31" s="51"/>
      <c r="Q31" s="51" t="s">
        <v>130</v>
      </c>
      <c r="R31" s="51" t="s">
        <v>115</v>
      </c>
      <c r="S31" s="51"/>
      <c r="T31" s="51" t="s">
        <v>148</v>
      </c>
      <c r="U31" s="51" t="s">
        <v>147</v>
      </c>
      <c r="V31" s="51"/>
      <c r="W31" s="51" t="s">
        <v>130</v>
      </c>
      <c r="X31" s="51" t="s">
        <v>107</v>
      </c>
      <c r="Y31" s="51"/>
      <c r="Z31" s="42" t="s">
        <v>126</v>
      </c>
      <c r="AA31" s="42" t="s">
        <v>108</v>
      </c>
      <c r="AB31" s="42"/>
      <c r="AC31" s="42" t="s">
        <v>143</v>
      </c>
      <c r="AD31" s="42" t="s">
        <v>73</v>
      </c>
      <c r="AE31" s="42"/>
      <c r="AF31" s="42" t="s">
        <v>125</v>
      </c>
      <c r="AG31" s="42" t="s">
        <v>81</v>
      </c>
      <c r="AH31" s="42"/>
      <c r="AI31" s="42" t="s">
        <v>124</v>
      </c>
      <c r="AJ31" s="42" t="s">
        <v>57</v>
      </c>
      <c r="AK31" s="42"/>
      <c r="AL31" s="42" t="s">
        <v>124</v>
      </c>
      <c r="AM31" s="42" t="s">
        <v>104</v>
      </c>
      <c r="AN31" s="42"/>
      <c r="AO31" s="50" t="s">
        <v>194</v>
      </c>
      <c r="AP31" s="50" t="s">
        <v>197</v>
      </c>
      <c r="AQ31" s="50" t="s">
        <v>87</v>
      </c>
      <c r="AR31" s="50" t="s">
        <v>194</v>
      </c>
      <c r="AS31" s="50" t="s">
        <v>92</v>
      </c>
      <c r="AT31" s="50" t="s">
        <v>55</v>
      </c>
      <c r="AU31" s="71" t="s">
        <v>199</v>
      </c>
      <c r="AV31" s="71" t="s">
        <v>64</v>
      </c>
      <c r="AW31" s="71"/>
      <c r="AX31" s="71" t="s">
        <v>123</v>
      </c>
      <c r="AY31" s="71" t="s">
        <v>74</v>
      </c>
      <c r="AZ31" s="71"/>
      <c r="BA31" s="42" t="s">
        <v>124</v>
      </c>
      <c r="BB31" s="42" t="s">
        <v>105</v>
      </c>
      <c r="BC31" s="42"/>
      <c r="BD31" s="51" t="s">
        <v>141</v>
      </c>
      <c r="BE31" s="51" t="s">
        <v>118</v>
      </c>
      <c r="BF31" s="51"/>
      <c r="BG31" s="51" t="s">
        <v>160</v>
      </c>
      <c r="BH31" s="51" t="s">
        <v>150</v>
      </c>
      <c r="BI31" s="51"/>
      <c r="BJ31" s="42" t="s">
        <v>200</v>
      </c>
      <c r="BK31" s="42" t="s">
        <v>166</v>
      </c>
      <c r="BL31" s="42"/>
      <c r="BM31" s="42" t="s">
        <v>143</v>
      </c>
      <c r="BN31" s="42" t="s">
        <v>184</v>
      </c>
      <c r="BO31" s="42" t="s">
        <v>54</v>
      </c>
      <c r="BP31" s="42" t="s">
        <v>134</v>
      </c>
      <c r="BQ31" s="42" t="s">
        <v>135</v>
      </c>
      <c r="BR31" s="42" t="s">
        <v>71</v>
      </c>
      <c r="BS31" s="42" t="s">
        <v>125</v>
      </c>
      <c r="BT31" s="42" t="s">
        <v>62</v>
      </c>
      <c r="BU31" s="42"/>
      <c r="BV31" s="73" t="s">
        <v>126</v>
      </c>
      <c r="BW31" s="73" t="s">
        <v>80</v>
      </c>
      <c r="BX31" s="73"/>
      <c r="BY31" s="72" t="s">
        <v>137</v>
      </c>
      <c r="BZ31" s="72" t="s">
        <v>139</v>
      </c>
      <c r="CA31" s="72"/>
      <c r="CB31" s="42" t="s">
        <v>122</v>
      </c>
      <c r="CC31" s="42" t="s">
        <v>70</v>
      </c>
      <c r="CD31" s="42"/>
      <c r="CE31" s="68" t="s">
        <v>126</v>
      </c>
      <c r="CF31" s="68" t="s">
        <v>66</v>
      </c>
      <c r="CG31" s="68"/>
      <c r="CH31" s="71" t="s">
        <v>132</v>
      </c>
      <c r="CI31" s="71" t="s">
        <v>72</v>
      </c>
      <c r="CJ31" s="71"/>
      <c r="CK31" s="42" t="s">
        <v>176</v>
      </c>
      <c r="CL31" s="42" t="s">
        <v>133</v>
      </c>
      <c r="CM31" s="42" t="s">
        <v>153</v>
      </c>
      <c r="CN31" s="42" t="s">
        <v>211</v>
      </c>
      <c r="CO31" s="42" t="s">
        <v>56</v>
      </c>
      <c r="CP31" s="42"/>
      <c r="CQ31" s="53" t="s">
        <v>126</v>
      </c>
      <c r="CR31" s="53" t="s">
        <v>59</v>
      </c>
      <c r="CS31" s="42"/>
      <c r="CT31" s="54" t="s">
        <v>170</v>
      </c>
      <c r="CU31" s="54" t="s">
        <v>171</v>
      </c>
      <c r="CV31" s="54"/>
      <c r="CW31" s="53" t="s">
        <v>168</v>
      </c>
      <c r="CX31" s="53" t="s">
        <v>119</v>
      </c>
      <c r="CY31" s="53"/>
      <c r="CZ31" s="53" t="s">
        <v>156</v>
      </c>
      <c r="DA31" s="53" t="s">
        <v>157</v>
      </c>
      <c r="DB31" s="53"/>
      <c r="DC31" s="53" t="s">
        <v>148</v>
      </c>
      <c r="DD31" s="53" t="s">
        <v>187</v>
      </c>
      <c r="DE31" s="53"/>
      <c r="DF31" s="42"/>
      <c r="DG31" s="42"/>
      <c r="DH31" s="42"/>
      <c r="DI31" s="65" t="s">
        <v>84</v>
      </c>
      <c r="DJ31" s="63"/>
      <c r="DK31" s="5">
        <f t="shared" si="41"/>
        <v>0</v>
      </c>
      <c r="DL31" s="5">
        <f t="shared" si="42"/>
        <v>1</v>
      </c>
      <c r="DM31" s="5">
        <f t="shared" si="43"/>
        <v>1</v>
      </c>
      <c r="DN31" s="5">
        <f t="shared" si="4"/>
        <v>1</v>
      </c>
      <c r="DO31" s="5">
        <f t="shared" si="44"/>
        <v>1</v>
      </c>
      <c r="DP31" s="5">
        <f t="shared" si="45"/>
        <v>0</v>
      </c>
      <c r="DQ31" s="5">
        <f t="shared" si="5"/>
        <v>1</v>
      </c>
      <c r="DR31" s="5">
        <f t="shared" si="6"/>
        <v>0</v>
      </c>
      <c r="DS31" s="5">
        <f t="shared" si="46"/>
        <v>0</v>
      </c>
      <c r="DT31" s="5">
        <f t="shared" si="7"/>
        <v>1</v>
      </c>
      <c r="DU31" s="5">
        <f t="shared" si="47"/>
        <v>0</v>
      </c>
      <c r="DV31" s="5">
        <f t="shared" si="8"/>
        <v>1</v>
      </c>
      <c r="DW31" s="5">
        <f t="shared" si="48"/>
        <v>0</v>
      </c>
      <c r="DX31" s="5">
        <f t="shared" si="9"/>
        <v>1</v>
      </c>
      <c r="DY31" s="5">
        <f t="shared" si="49"/>
        <v>0</v>
      </c>
      <c r="DZ31" s="5">
        <f t="shared" si="10"/>
        <v>0</v>
      </c>
      <c r="EA31" s="5">
        <f t="shared" si="50"/>
        <v>0</v>
      </c>
      <c r="EB31" s="5">
        <f t="shared" si="11"/>
        <v>1</v>
      </c>
      <c r="EC31" s="5">
        <f t="shared" si="12"/>
        <v>1</v>
      </c>
      <c r="ED31" s="5">
        <f t="shared" si="13"/>
        <v>1</v>
      </c>
      <c r="EE31" s="5">
        <f t="shared" si="51"/>
        <v>1</v>
      </c>
      <c r="EF31" s="5">
        <f t="shared" si="14"/>
        <v>0</v>
      </c>
      <c r="EG31" s="5">
        <f t="shared" si="15"/>
        <v>1</v>
      </c>
      <c r="EH31" s="5">
        <f t="shared" si="52"/>
        <v>0</v>
      </c>
      <c r="EI31" s="5">
        <f t="shared" si="53"/>
        <v>0</v>
      </c>
      <c r="EJ31" s="5">
        <f t="shared" si="16"/>
        <v>0</v>
      </c>
      <c r="EK31" s="5">
        <f t="shared" si="17"/>
        <v>0</v>
      </c>
      <c r="EL31" s="5">
        <f t="shared" si="54"/>
        <v>0</v>
      </c>
      <c r="EM31" s="5">
        <f t="shared" si="18"/>
        <v>0</v>
      </c>
      <c r="EN31" s="5">
        <f t="shared" si="19"/>
        <v>1</v>
      </c>
      <c r="EO31" s="5">
        <f t="shared" si="20"/>
        <v>1</v>
      </c>
      <c r="EP31" s="5">
        <f t="shared" si="21"/>
        <v>0</v>
      </c>
      <c r="EQ31" s="5">
        <f t="shared" si="55"/>
        <v>1</v>
      </c>
      <c r="ER31" s="5">
        <f t="shared" si="22"/>
        <v>0</v>
      </c>
      <c r="ES31" s="5">
        <f t="shared" si="23"/>
        <v>1</v>
      </c>
      <c r="ET31" s="5">
        <f t="shared" si="24"/>
        <v>1</v>
      </c>
      <c r="EU31" s="5">
        <f t="shared" si="56"/>
        <v>1</v>
      </c>
      <c r="EV31" s="5">
        <f t="shared" si="57"/>
        <v>0</v>
      </c>
      <c r="EW31" s="5">
        <f t="shared" si="58"/>
        <v>1</v>
      </c>
      <c r="EX31" s="5">
        <f t="shared" si="25"/>
        <v>1</v>
      </c>
      <c r="EY31" s="5">
        <f t="shared" si="26"/>
        <v>0</v>
      </c>
      <c r="EZ31" s="5">
        <f t="shared" si="27"/>
        <v>0</v>
      </c>
      <c r="FA31" s="5">
        <f t="shared" si="28"/>
        <v>0</v>
      </c>
      <c r="FB31" s="5">
        <f t="shared" si="29"/>
        <v>0</v>
      </c>
      <c r="FC31" s="5">
        <f t="shared" si="30"/>
        <v>1</v>
      </c>
      <c r="FD31" s="5">
        <f t="shared" si="31"/>
        <v>0</v>
      </c>
      <c r="FE31" s="5">
        <f t="shared" si="32"/>
        <v>0</v>
      </c>
      <c r="FF31" s="5">
        <f t="shared" si="33"/>
        <v>0</v>
      </c>
      <c r="FG31" s="5">
        <f t="shared" si="34"/>
        <v>1</v>
      </c>
      <c r="FH31" s="5">
        <f t="shared" si="35"/>
        <v>0</v>
      </c>
      <c r="FI31" s="5">
        <f t="shared" si="36"/>
        <v>0</v>
      </c>
      <c r="FJ31" s="5">
        <f t="shared" si="59"/>
        <v>0</v>
      </c>
      <c r="FK31" s="5">
        <f t="shared" si="37"/>
        <v>1</v>
      </c>
      <c r="FL31" s="5">
        <f t="shared" si="38"/>
        <v>0</v>
      </c>
      <c r="FM31" s="5">
        <f t="shared" si="60"/>
        <v>0</v>
      </c>
      <c r="FN31" s="5">
        <f t="shared" si="39"/>
        <v>0</v>
      </c>
      <c r="FO31" s="5">
        <f t="shared" si="40"/>
        <v>0</v>
      </c>
    </row>
    <row r="32" spans="1:171" ht="25.5" customHeight="1">
      <c r="A32" s="1" t="s">
        <v>212</v>
      </c>
      <c r="B32" s="95"/>
      <c r="C32" s="12" t="s">
        <v>174</v>
      </c>
      <c r="D32" s="30">
        <v>7</v>
      </c>
      <c r="E32" s="51" t="s">
        <v>148</v>
      </c>
      <c r="F32" s="51" t="s">
        <v>146</v>
      </c>
      <c r="G32" s="51"/>
      <c r="H32" s="51" t="s">
        <v>148</v>
      </c>
      <c r="I32" s="51" t="s">
        <v>147</v>
      </c>
      <c r="J32" s="51"/>
      <c r="K32" s="51" t="s">
        <v>130</v>
      </c>
      <c r="L32" s="51" t="s">
        <v>162</v>
      </c>
      <c r="M32" s="51"/>
      <c r="N32" s="42" t="s">
        <v>127</v>
      </c>
      <c r="O32" s="42" t="s">
        <v>128</v>
      </c>
      <c r="P32" s="42"/>
      <c r="Q32" s="42" t="s">
        <v>126</v>
      </c>
      <c r="R32" s="42" t="s">
        <v>129</v>
      </c>
      <c r="S32" s="42"/>
      <c r="T32" s="50" t="s">
        <v>194</v>
      </c>
      <c r="U32" s="50" t="s">
        <v>197</v>
      </c>
      <c r="V32" s="50" t="s">
        <v>55</v>
      </c>
      <c r="W32" s="50" t="s">
        <v>194</v>
      </c>
      <c r="X32" s="50" t="s">
        <v>92</v>
      </c>
      <c r="Y32" s="50" t="s">
        <v>87</v>
      </c>
      <c r="Z32" s="42" t="s">
        <v>122</v>
      </c>
      <c r="AA32" s="42" t="s">
        <v>95</v>
      </c>
      <c r="AB32" s="42"/>
      <c r="AC32" s="42" t="s">
        <v>124</v>
      </c>
      <c r="AD32" s="42" t="s">
        <v>91</v>
      </c>
      <c r="AE32" s="42"/>
      <c r="AF32" s="42" t="s">
        <v>132</v>
      </c>
      <c r="AG32" s="42" t="s">
        <v>72</v>
      </c>
      <c r="AH32" s="42"/>
      <c r="AI32" s="51" t="s">
        <v>130</v>
      </c>
      <c r="AJ32" s="51" t="s">
        <v>116</v>
      </c>
      <c r="AK32" s="51"/>
      <c r="AL32" s="51" t="s">
        <v>141</v>
      </c>
      <c r="AM32" s="51" t="s">
        <v>103</v>
      </c>
      <c r="AN32" s="51"/>
      <c r="AO32" s="51" t="s">
        <v>130</v>
      </c>
      <c r="AP32" s="51" t="s">
        <v>150</v>
      </c>
      <c r="AQ32" s="51"/>
      <c r="AR32" s="51" t="s">
        <v>130</v>
      </c>
      <c r="AS32" s="51" t="s">
        <v>111</v>
      </c>
      <c r="AT32" s="51"/>
      <c r="AU32" s="42" t="s">
        <v>126</v>
      </c>
      <c r="AV32" s="42" t="s">
        <v>83</v>
      </c>
      <c r="AW32" s="42"/>
      <c r="AX32" s="42" t="s">
        <v>211</v>
      </c>
      <c r="AY32" s="42" t="s">
        <v>56</v>
      </c>
      <c r="AZ32" s="42"/>
      <c r="BA32" s="42" t="s">
        <v>143</v>
      </c>
      <c r="BB32" s="42" t="s">
        <v>76</v>
      </c>
      <c r="BC32" s="42" t="s">
        <v>53</v>
      </c>
      <c r="BD32" s="42" t="s">
        <v>131</v>
      </c>
      <c r="BE32" s="42" t="s">
        <v>70</v>
      </c>
      <c r="BF32" s="42"/>
      <c r="BG32" s="42" t="s">
        <v>126</v>
      </c>
      <c r="BH32" s="42" t="s">
        <v>66</v>
      </c>
      <c r="BI32" s="42"/>
      <c r="BJ32" s="42" t="s">
        <v>130</v>
      </c>
      <c r="BK32" s="42" t="s">
        <v>133</v>
      </c>
      <c r="BL32" s="42" t="s">
        <v>213</v>
      </c>
      <c r="BM32" s="72" t="s">
        <v>122</v>
      </c>
      <c r="BN32" s="72" t="s">
        <v>94</v>
      </c>
      <c r="BO32" s="72"/>
      <c r="BP32" s="42" t="s">
        <v>143</v>
      </c>
      <c r="BQ32" s="42" t="s">
        <v>184</v>
      </c>
      <c r="BR32" s="42" t="s">
        <v>54</v>
      </c>
      <c r="BS32" s="42" t="s">
        <v>134</v>
      </c>
      <c r="BT32" s="42" t="s">
        <v>135</v>
      </c>
      <c r="BU32" s="42" t="s">
        <v>71</v>
      </c>
      <c r="BV32" s="42" t="s">
        <v>125</v>
      </c>
      <c r="BW32" s="42" t="s">
        <v>62</v>
      </c>
      <c r="BX32" s="42"/>
      <c r="BY32" s="72" t="s">
        <v>126</v>
      </c>
      <c r="BZ32" s="72" t="s">
        <v>80</v>
      </c>
      <c r="CA32" s="72"/>
      <c r="CB32" s="42" t="s">
        <v>127</v>
      </c>
      <c r="CC32" s="42" t="s">
        <v>151</v>
      </c>
      <c r="CD32" s="42"/>
      <c r="CE32" s="42" t="s">
        <v>123</v>
      </c>
      <c r="CF32" s="42" t="s">
        <v>74</v>
      </c>
      <c r="CG32" s="42"/>
      <c r="CH32" s="54" t="s">
        <v>124</v>
      </c>
      <c r="CI32" s="54" t="s">
        <v>97</v>
      </c>
      <c r="CJ32" s="54"/>
      <c r="CK32" s="54" t="s">
        <v>126</v>
      </c>
      <c r="CL32" s="54" t="s">
        <v>106</v>
      </c>
      <c r="CM32" s="54"/>
      <c r="CN32" s="54" t="s">
        <v>142</v>
      </c>
      <c r="CO32" s="54" t="s">
        <v>77</v>
      </c>
      <c r="CP32" s="54"/>
      <c r="CQ32" s="50" t="s">
        <v>140</v>
      </c>
      <c r="CR32" s="50" t="s">
        <v>109</v>
      </c>
      <c r="CS32" s="50"/>
      <c r="CT32" s="42" t="s">
        <v>144</v>
      </c>
      <c r="CU32" s="42" t="s">
        <v>90</v>
      </c>
      <c r="CV32" s="42"/>
      <c r="CW32" s="42" t="s">
        <v>170</v>
      </c>
      <c r="CX32" s="42" t="s">
        <v>171</v>
      </c>
      <c r="CY32" s="54"/>
      <c r="CZ32" s="53" t="s">
        <v>168</v>
      </c>
      <c r="DA32" s="53" t="s">
        <v>169</v>
      </c>
      <c r="DB32" s="53"/>
      <c r="DC32" s="53" t="s">
        <v>168</v>
      </c>
      <c r="DD32" s="53" t="s">
        <v>120</v>
      </c>
      <c r="DE32" s="53"/>
      <c r="DF32" s="42"/>
      <c r="DG32" s="42"/>
      <c r="DH32" s="42"/>
      <c r="DI32" s="65" t="s">
        <v>84</v>
      </c>
      <c r="DJ32" s="63"/>
      <c r="DK32" s="5">
        <f t="shared" si="41"/>
        <v>1</v>
      </c>
      <c r="DL32" s="5">
        <f t="shared" si="42"/>
        <v>1</v>
      </c>
      <c r="DM32" s="5">
        <f t="shared" si="43"/>
        <v>1</v>
      </c>
      <c r="DN32" s="5">
        <f t="shared" si="4"/>
        <v>1</v>
      </c>
      <c r="DO32" s="5">
        <f t="shared" si="44"/>
        <v>0</v>
      </c>
      <c r="DP32" s="5">
        <f t="shared" si="45"/>
        <v>0</v>
      </c>
      <c r="DQ32" s="5">
        <f t="shared" si="5"/>
        <v>0</v>
      </c>
      <c r="DR32" s="5">
        <f t="shared" si="6"/>
        <v>0</v>
      </c>
      <c r="DS32" s="5">
        <f t="shared" si="46"/>
        <v>0</v>
      </c>
      <c r="DT32" s="5">
        <f t="shared" si="7"/>
        <v>1</v>
      </c>
      <c r="DU32" s="5">
        <f t="shared" si="47"/>
        <v>0</v>
      </c>
      <c r="DV32" s="5">
        <f t="shared" si="8"/>
        <v>0</v>
      </c>
      <c r="DW32" s="5">
        <f t="shared" si="48"/>
        <v>0</v>
      </c>
      <c r="DX32" s="5">
        <f t="shared" si="9"/>
        <v>1</v>
      </c>
      <c r="DY32" s="5">
        <f t="shared" si="49"/>
        <v>0</v>
      </c>
      <c r="DZ32" s="5">
        <f t="shared" si="10"/>
        <v>0</v>
      </c>
      <c r="EA32" s="5">
        <f t="shared" si="50"/>
        <v>0</v>
      </c>
      <c r="EB32" s="5">
        <f t="shared" si="11"/>
        <v>1</v>
      </c>
      <c r="EC32" s="5">
        <f t="shared" si="12"/>
        <v>1</v>
      </c>
      <c r="ED32" s="5">
        <f t="shared" si="13"/>
        <v>1</v>
      </c>
      <c r="EE32" s="5">
        <f t="shared" si="51"/>
        <v>0</v>
      </c>
      <c r="EF32" s="5">
        <f t="shared" si="14"/>
        <v>1</v>
      </c>
      <c r="EG32" s="5">
        <f t="shared" si="15"/>
        <v>1</v>
      </c>
      <c r="EH32" s="5">
        <f t="shared" si="52"/>
        <v>0</v>
      </c>
      <c r="EI32" s="5">
        <f t="shared" si="53"/>
        <v>1</v>
      </c>
      <c r="EJ32" s="5">
        <f t="shared" si="16"/>
        <v>0</v>
      </c>
      <c r="EK32" s="5">
        <f t="shared" si="17"/>
        <v>1</v>
      </c>
      <c r="EL32" s="5">
        <f t="shared" si="54"/>
        <v>0</v>
      </c>
      <c r="EM32" s="5">
        <f t="shared" si="18"/>
        <v>0</v>
      </c>
      <c r="EN32" s="5">
        <f t="shared" si="19"/>
        <v>1</v>
      </c>
      <c r="EO32" s="5">
        <f t="shared" si="20"/>
        <v>0</v>
      </c>
      <c r="EP32" s="5">
        <f t="shared" si="21"/>
        <v>1</v>
      </c>
      <c r="EQ32" s="5">
        <f t="shared" si="55"/>
        <v>1</v>
      </c>
      <c r="ER32" s="5">
        <f t="shared" si="22"/>
        <v>1</v>
      </c>
      <c r="ES32" s="5">
        <f t="shared" si="23"/>
        <v>1</v>
      </c>
      <c r="ET32" s="5">
        <f t="shared" si="24"/>
        <v>0</v>
      </c>
      <c r="EU32" s="5">
        <f t="shared" si="56"/>
        <v>1</v>
      </c>
      <c r="EV32" s="5">
        <f t="shared" si="57"/>
        <v>0</v>
      </c>
      <c r="EW32" s="5">
        <f t="shared" si="58"/>
        <v>0</v>
      </c>
      <c r="EX32" s="5">
        <f t="shared" si="25"/>
        <v>1</v>
      </c>
      <c r="EY32" s="5">
        <f t="shared" si="26"/>
        <v>0</v>
      </c>
      <c r="EZ32" s="5">
        <f t="shared" si="27"/>
        <v>0</v>
      </c>
      <c r="FA32" s="5">
        <f t="shared" si="28"/>
        <v>1</v>
      </c>
      <c r="FB32" s="5">
        <f t="shared" si="29"/>
        <v>1</v>
      </c>
      <c r="FC32" s="5">
        <f t="shared" si="30"/>
        <v>1</v>
      </c>
      <c r="FD32" s="5">
        <f t="shared" si="31"/>
        <v>0</v>
      </c>
      <c r="FE32" s="5">
        <f t="shared" si="32"/>
        <v>1</v>
      </c>
      <c r="FF32" s="5">
        <f t="shared" si="33"/>
        <v>1</v>
      </c>
      <c r="FG32" s="5">
        <f t="shared" si="34"/>
        <v>1</v>
      </c>
      <c r="FH32" s="5">
        <f t="shared" si="35"/>
        <v>0</v>
      </c>
      <c r="FI32" s="5">
        <f t="shared" si="36"/>
        <v>0</v>
      </c>
      <c r="FJ32" s="5">
        <f t="shared" si="59"/>
        <v>1</v>
      </c>
      <c r="FK32" s="5">
        <f t="shared" si="37"/>
        <v>1</v>
      </c>
      <c r="FL32" s="5">
        <f t="shared" si="38"/>
        <v>1</v>
      </c>
      <c r="FM32" s="5">
        <f t="shared" si="60"/>
        <v>0</v>
      </c>
      <c r="FN32" s="5">
        <f t="shared" si="39"/>
        <v>0</v>
      </c>
      <c r="FO32" s="5">
        <f t="shared" si="40"/>
        <v>0</v>
      </c>
    </row>
    <row r="33" spans="1:171" ht="25.5" customHeight="1">
      <c r="B33" s="95"/>
      <c r="C33" s="12" t="s">
        <v>177</v>
      </c>
      <c r="D33" s="30">
        <v>8</v>
      </c>
      <c r="E33" s="51" t="s">
        <v>148</v>
      </c>
      <c r="F33" s="51" t="s">
        <v>146</v>
      </c>
      <c r="G33" s="51"/>
      <c r="H33" s="51" t="s">
        <v>148</v>
      </c>
      <c r="I33" s="51" t="s">
        <v>147</v>
      </c>
      <c r="J33" s="51"/>
      <c r="K33" s="51" t="s">
        <v>130</v>
      </c>
      <c r="L33" s="51" t="s">
        <v>162</v>
      </c>
      <c r="M33" s="51"/>
      <c r="N33" s="42" t="s">
        <v>127</v>
      </c>
      <c r="O33" s="42" t="s">
        <v>128</v>
      </c>
      <c r="P33" s="42"/>
      <c r="Q33" s="42" t="s">
        <v>126</v>
      </c>
      <c r="R33" s="42" t="s">
        <v>129</v>
      </c>
      <c r="S33" s="42"/>
      <c r="T33" s="50" t="s">
        <v>194</v>
      </c>
      <c r="U33" s="50" t="s">
        <v>197</v>
      </c>
      <c r="V33" s="50" t="s">
        <v>55</v>
      </c>
      <c r="W33" s="50" t="s">
        <v>194</v>
      </c>
      <c r="X33" s="50" t="s">
        <v>92</v>
      </c>
      <c r="Y33" s="50" t="s">
        <v>87</v>
      </c>
      <c r="Z33" s="42" t="s">
        <v>122</v>
      </c>
      <c r="AA33" s="42" t="s">
        <v>99</v>
      </c>
      <c r="AB33" s="42"/>
      <c r="AC33" s="42" t="s">
        <v>124</v>
      </c>
      <c r="AD33" s="42" t="s">
        <v>91</v>
      </c>
      <c r="AE33" s="42"/>
      <c r="AF33" s="42" t="s">
        <v>123</v>
      </c>
      <c r="AG33" s="42" t="s">
        <v>88</v>
      </c>
      <c r="AH33" s="42"/>
      <c r="AI33" s="51" t="s">
        <v>130</v>
      </c>
      <c r="AJ33" s="51" t="s">
        <v>116</v>
      </c>
      <c r="AK33" s="51"/>
      <c r="AL33" s="51" t="s">
        <v>141</v>
      </c>
      <c r="AM33" s="51" t="s">
        <v>103</v>
      </c>
      <c r="AN33" s="51"/>
      <c r="AO33" s="51" t="s">
        <v>130</v>
      </c>
      <c r="AP33" s="51" t="s">
        <v>150</v>
      </c>
      <c r="AQ33" s="51"/>
      <c r="AR33" s="51" t="s">
        <v>130</v>
      </c>
      <c r="AS33" s="51" t="s">
        <v>111</v>
      </c>
      <c r="AT33" s="51"/>
      <c r="AU33" s="51" t="s">
        <v>130</v>
      </c>
      <c r="AV33" s="51" t="s">
        <v>107</v>
      </c>
      <c r="AW33" s="51"/>
      <c r="AX33" s="51" t="s">
        <v>130</v>
      </c>
      <c r="AY33" s="51" t="s">
        <v>113</v>
      </c>
      <c r="AZ33" s="51"/>
      <c r="BA33" s="42" t="s">
        <v>143</v>
      </c>
      <c r="BB33" s="42" t="s">
        <v>76</v>
      </c>
      <c r="BC33" s="42" t="s">
        <v>53</v>
      </c>
      <c r="BD33" s="42" t="s">
        <v>182</v>
      </c>
      <c r="BE33" s="42" t="s">
        <v>93</v>
      </c>
      <c r="BF33" s="42"/>
      <c r="BG33" s="42" t="s">
        <v>126</v>
      </c>
      <c r="BH33" s="42" t="s">
        <v>66</v>
      </c>
      <c r="BI33" s="42"/>
      <c r="BJ33" s="42" t="s">
        <v>130</v>
      </c>
      <c r="BK33" s="42" t="s">
        <v>133</v>
      </c>
      <c r="BL33" s="42" t="s">
        <v>213</v>
      </c>
      <c r="BM33" s="72" t="s">
        <v>122</v>
      </c>
      <c r="BN33" s="72" t="s">
        <v>94</v>
      </c>
      <c r="BO33" s="72"/>
      <c r="BP33" s="42" t="s">
        <v>143</v>
      </c>
      <c r="BQ33" s="42" t="s">
        <v>184</v>
      </c>
      <c r="BR33" s="42" t="s">
        <v>54</v>
      </c>
      <c r="BS33" s="42" t="s">
        <v>134</v>
      </c>
      <c r="BT33" s="42" t="s">
        <v>135</v>
      </c>
      <c r="BU33" s="42" t="s">
        <v>71</v>
      </c>
      <c r="BV33" s="42" t="s">
        <v>125</v>
      </c>
      <c r="BW33" s="42" t="s">
        <v>62</v>
      </c>
      <c r="BX33" s="42"/>
      <c r="BY33" s="42" t="s">
        <v>123</v>
      </c>
      <c r="BZ33" s="42" t="s">
        <v>74</v>
      </c>
      <c r="CA33" s="42"/>
      <c r="CB33" s="42" t="s">
        <v>127</v>
      </c>
      <c r="CC33" s="42" t="s">
        <v>151</v>
      </c>
      <c r="CD33" s="42"/>
      <c r="CE33" s="42" t="s">
        <v>183</v>
      </c>
      <c r="CF33" s="42" t="s">
        <v>60</v>
      </c>
      <c r="CG33" s="42"/>
      <c r="CH33" s="54" t="s">
        <v>142</v>
      </c>
      <c r="CI33" s="54" t="s">
        <v>77</v>
      </c>
      <c r="CJ33" s="54"/>
      <c r="CK33" s="54" t="s">
        <v>211</v>
      </c>
      <c r="CL33" s="54" t="s">
        <v>56</v>
      </c>
      <c r="CM33" s="54"/>
      <c r="CN33" s="54" t="s">
        <v>124</v>
      </c>
      <c r="CO33" s="54" t="s">
        <v>105</v>
      </c>
      <c r="CP33" s="54"/>
      <c r="CQ33" s="42" t="s">
        <v>159</v>
      </c>
      <c r="CR33" s="42" t="s">
        <v>205</v>
      </c>
      <c r="CS33" s="42"/>
      <c r="CT33" s="50" t="s">
        <v>140</v>
      </c>
      <c r="CU33" s="50" t="s">
        <v>109</v>
      </c>
      <c r="CV33" s="50"/>
      <c r="CW33" s="42" t="s">
        <v>170</v>
      </c>
      <c r="CX33" s="42" t="s">
        <v>171</v>
      </c>
      <c r="CY33" s="54"/>
      <c r="CZ33" s="53" t="s">
        <v>168</v>
      </c>
      <c r="DA33" s="53" t="s">
        <v>169</v>
      </c>
      <c r="DB33" s="53"/>
      <c r="DC33" s="53" t="s">
        <v>168</v>
      </c>
      <c r="DD33" s="53" t="s">
        <v>120</v>
      </c>
      <c r="DE33" s="53"/>
      <c r="DF33" s="42"/>
      <c r="DG33" s="42"/>
      <c r="DH33" s="42"/>
      <c r="DI33" s="65" t="s">
        <v>84</v>
      </c>
      <c r="DJ33" s="63"/>
      <c r="DK33" s="5">
        <f t="shared" si="41"/>
        <v>1</v>
      </c>
      <c r="DL33" s="5">
        <f t="shared" si="42"/>
        <v>1</v>
      </c>
      <c r="DM33" s="5">
        <f t="shared" si="43"/>
        <v>1</v>
      </c>
      <c r="DN33" s="5">
        <f t="shared" si="4"/>
        <v>1</v>
      </c>
      <c r="DO33" s="5">
        <f t="shared" si="44"/>
        <v>0</v>
      </c>
      <c r="DP33" s="5">
        <f t="shared" si="45"/>
        <v>0</v>
      </c>
      <c r="DQ33" s="5">
        <f t="shared" si="5"/>
        <v>0</v>
      </c>
      <c r="DR33" s="5">
        <f t="shared" si="6"/>
        <v>1</v>
      </c>
      <c r="DS33" s="5">
        <f t="shared" si="46"/>
        <v>0</v>
      </c>
      <c r="DT33" s="5">
        <f t="shared" si="7"/>
        <v>1</v>
      </c>
      <c r="DU33" s="5">
        <f t="shared" si="47"/>
        <v>0</v>
      </c>
      <c r="DV33" s="5">
        <f t="shared" si="8"/>
        <v>0</v>
      </c>
      <c r="DW33" s="5">
        <f t="shared" si="48"/>
        <v>0</v>
      </c>
      <c r="DX33" s="5">
        <f t="shared" si="9"/>
        <v>1</v>
      </c>
      <c r="DY33" s="5">
        <f t="shared" si="49"/>
        <v>0</v>
      </c>
      <c r="DZ33" s="5">
        <f t="shared" si="10"/>
        <v>0</v>
      </c>
      <c r="EA33" s="5">
        <f t="shared" si="50"/>
        <v>0</v>
      </c>
      <c r="EB33" s="5">
        <f t="shared" si="11"/>
        <v>0</v>
      </c>
      <c r="EC33" s="5">
        <f t="shared" si="12"/>
        <v>1</v>
      </c>
      <c r="ED33" s="5">
        <f t="shared" si="13"/>
        <v>0</v>
      </c>
      <c r="EE33" s="5">
        <f t="shared" si="51"/>
        <v>0</v>
      </c>
      <c r="EF33" s="5">
        <f t="shared" si="14"/>
        <v>1</v>
      </c>
      <c r="EG33" s="5">
        <f t="shared" si="15"/>
        <v>1</v>
      </c>
      <c r="EH33" s="5">
        <f t="shared" si="52"/>
        <v>0</v>
      </c>
      <c r="EI33" s="5">
        <f t="shared" si="53"/>
        <v>1</v>
      </c>
      <c r="EJ33" s="5">
        <f t="shared" si="16"/>
        <v>0</v>
      </c>
      <c r="EK33" s="5">
        <f t="shared" si="17"/>
        <v>1</v>
      </c>
      <c r="EL33" s="5">
        <f t="shared" si="54"/>
        <v>0</v>
      </c>
      <c r="EM33" s="5">
        <f t="shared" si="18"/>
        <v>0</v>
      </c>
      <c r="EN33" s="5">
        <f t="shared" si="19"/>
        <v>0</v>
      </c>
      <c r="EO33" s="5">
        <f t="shared" si="20"/>
        <v>0</v>
      </c>
      <c r="EP33" s="5">
        <f t="shared" si="21"/>
        <v>1</v>
      </c>
      <c r="EQ33" s="5">
        <f t="shared" si="55"/>
        <v>1</v>
      </c>
      <c r="ER33" s="5">
        <f t="shared" si="22"/>
        <v>0</v>
      </c>
      <c r="ES33" s="5">
        <f t="shared" si="23"/>
        <v>1</v>
      </c>
      <c r="ET33" s="5">
        <f t="shared" si="24"/>
        <v>0</v>
      </c>
      <c r="EU33" s="5">
        <f t="shared" si="56"/>
        <v>1</v>
      </c>
      <c r="EV33" s="5">
        <f t="shared" si="57"/>
        <v>0</v>
      </c>
      <c r="EW33" s="5">
        <f t="shared" si="58"/>
        <v>0</v>
      </c>
      <c r="EX33" s="5">
        <f t="shared" si="25"/>
        <v>1</v>
      </c>
      <c r="EY33" s="5">
        <f t="shared" si="26"/>
        <v>1</v>
      </c>
      <c r="EZ33" s="5">
        <f t="shared" si="27"/>
        <v>0</v>
      </c>
      <c r="FA33" s="5">
        <f t="shared" si="28"/>
        <v>0</v>
      </c>
      <c r="FB33" s="5">
        <f t="shared" si="29"/>
        <v>1</v>
      </c>
      <c r="FC33" s="5">
        <f t="shared" si="30"/>
        <v>1</v>
      </c>
      <c r="FD33" s="5">
        <f t="shared" si="31"/>
        <v>1</v>
      </c>
      <c r="FE33" s="5">
        <f t="shared" si="32"/>
        <v>1</v>
      </c>
      <c r="FF33" s="5">
        <f t="shared" si="33"/>
        <v>0</v>
      </c>
      <c r="FG33" s="5">
        <f t="shared" si="34"/>
        <v>1</v>
      </c>
      <c r="FH33" s="5">
        <f t="shared" si="35"/>
        <v>0</v>
      </c>
      <c r="FI33" s="5">
        <f t="shared" si="36"/>
        <v>0</v>
      </c>
      <c r="FJ33" s="5">
        <f t="shared" si="59"/>
        <v>1</v>
      </c>
      <c r="FK33" s="5">
        <f t="shared" si="37"/>
        <v>1</v>
      </c>
      <c r="FL33" s="5">
        <f t="shared" si="38"/>
        <v>0</v>
      </c>
      <c r="FM33" s="5">
        <f t="shared" si="60"/>
        <v>0</v>
      </c>
      <c r="FN33" s="5">
        <f t="shared" si="39"/>
        <v>1</v>
      </c>
      <c r="FO33" s="5">
        <f t="shared" si="40"/>
        <v>1</v>
      </c>
    </row>
    <row r="34" spans="1:171" s="8" customFormat="1" ht="25.5" customHeight="1">
      <c r="B34" s="22"/>
      <c r="C34" s="13"/>
      <c r="D34" s="31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66"/>
      <c r="DJ34" s="64"/>
      <c r="DK34" s="5">
        <f t="shared" si="41"/>
        <v>0</v>
      </c>
      <c r="DL34" s="5">
        <f t="shared" si="42"/>
        <v>0</v>
      </c>
      <c r="DM34" s="5">
        <f t="shared" si="43"/>
        <v>0</v>
      </c>
      <c r="DN34" s="5">
        <f t="shared" si="4"/>
        <v>0</v>
      </c>
      <c r="DO34" s="5">
        <f t="shared" si="44"/>
        <v>0</v>
      </c>
      <c r="DP34" s="5">
        <f t="shared" si="45"/>
        <v>0</v>
      </c>
      <c r="DQ34" s="5">
        <f t="shared" si="5"/>
        <v>0</v>
      </c>
      <c r="DR34" s="5">
        <f t="shared" si="6"/>
        <v>0</v>
      </c>
      <c r="DS34" s="5">
        <f t="shared" si="46"/>
        <v>0</v>
      </c>
      <c r="DT34" s="5">
        <f t="shared" si="7"/>
        <v>0</v>
      </c>
      <c r="DU34" s="5">
        <f t="shared" si="47"/>
        <v>0</v>
      </c>
      <c r="DV34" s="5">
        <f t="shared" si="8"/>
        <v>0</v>
      </c>
      <c r="DW34" s="5">
        <f t="shared" si="48"/>
        <v>0</v>
      </c>
      <c r="DX34" s="5">
        <f t="shared" si="9"/>
        <v>0</v>
      </c>
      <c r="DY34" s="5">
        <f t="shared" si="49"/>
        <v>0</v>
      </c>
      <c r="DZ34" s="5">
        <f t="shared" si="10"/>
        <v>0</v>
      </c>
      <c r="EA34" s="5">
        <f t="shared" si="50"/>
        <v>0</v>
      </c>
      <c r="EB34" s="5">
        <f t="shared" si="11"/>
        <v>0</v>
      </c>
      <c r="EC34" s="5">
        <f t="shared" si="12"/>
        <v>0</v>
      </c>
      <c r="ED34" s="5">
        <f t="shared" si="13"/>
        <v>0</v>
      </c>
      <c r="EE34" s="5">
        <f t="shared" si="51"/>
        <v>0</v>
      </c>
      <c r="EF34" s="5">
        <f t="shared" si="14"/>
        <v>0</v>
      </c>
      <c r="EG34" s="5">
        <f t="shared" si="15"/>
        <v>0</v>
      </c>
      <c r="EH34" s="5">
        <f t="shared" si="52"/>
        <v>0</v>
      </c>
      <c r="EI34" s="5">
        <f t="shared" si="53"/>
        <v>0</v>
      </c>
      <c r="EJ34" s="5">
        <f t="shared" si="16"/>
        <v>0</v>
      </c>
      <c r="EK34" s="5">
        <f t="shared" si="17"/>
        <v>0</v>
      </c>
      <c r="EL34" s="5">
        <f t="shared" si="54"/>
        <v>0</v>
      </c>
      <c r="EM34" s="5">
        <f t="shared" si="18"/>
        <v>0</v>
      </c>
      <c r="EN34" s="5">
        <f t="shared" si="19"/>
        <v>0</v>
      </c>
      <c r="EO34" s="5">
        <f t="shared" si="20"/>
        <v>0</v>
      </c>
      <c r="EP34" s="5">
        <f t="shared" si="21"/>
        <v>0</v>
      </c>
      <c r="EQ34" s="5">
        <f t="shared" si="55"/>
        <v>0</v>
      </c>
      <c r="ER34" s="5">
        <f t="shared" si="22"/>
        <v>0</v>
      </c>
      <c r="ES34" s="5">
        <f t="shared" si="23"/>
        <v>0</v>
      </c>
      <c r="ET34" s="5">
        <f t="shared" si="24"/>
        <v>0</v>
      </c>
      <c r="EU34" s="5">
        <f t="shared" si="56"/>
        <v>0</v>
      </c>
      <c r="EV34" s="5">
        <f t="shared" si="57"/>
        <v>0</v>
      </c>
      <c r="EW34" s="5">
        <f t="shared" si="58"/>
        <v>0</v>
      </c>
      <c r="EX34" s="5">
        <f t="shared" si="25"/>
        <v>0</v>
      </c>
      <c r="EY34" s="5">
        <f t="shared" si="26"/>
        <v>0</v>
      </c>
      <c r="EZ34" s="5">
        <f t="shared" si="27"/>
        <v>0</v>
      </c>
      <c r="FA34" s="5">
        <f t="shared" si="28"/>
        <v>0</v>
      </c>
      <c r="FB34" s="5">
        <f t="shared" si="29"/>
        <v>0</v>
      </c>
      <c r="FC34" s="5">
        <f t="shared" si="30"/>
        <v>0</v>
      </c>
      <c r="FD34" s="5">
        <f t="shared" si="31"/>
        <v>0</v>
      </c>
      <c r="FE34" s="5">
        <f t="shared" si="32"/>
        <v>0</v>
      </c>
      <c r="FF34" s="5">
        <f t="shared" si="33"/>
        <v>0</v>
      </c>
      <c r="FG34" s="5">
        <f t="shared" si="34"/>
        <v>0</v>
      </c>
      <c r="FH34" s="5">
        <f t="shared" si="35"/>
        <v>0</v>
      </c>
      <c r="FI34" s="5">
        <f t="shared" si="36"/>
        <v>0</v>
      </c>
      <c r="FJ34" s="5">
        <f t="shared" si="59"/>
        <v>0</v>
      </c>
      <c r="FK34" s="5">
        <f t="shared" si="37"/>
        <v>0</v>
      </c>
      <c r="FL34" s="5">
        <f t="shared" si="38"/>
        <v>0</v>
      </c>
      <c r="FM34" s="5">
        <f t="shared" si="60"/>
        <v>0</v>
      </c>
      <c r="FN34" s="5">
        <f t="shared" si="39"/>
        <v>0</v>
      </c>
      <c r="FO34" s="5">
        <f t="shared" si="40"/>
        <v>0</v>
      </c>
    </row>
    <row r="35" spans="1:171" ht="25.5" customHeight="1">
      <c r="B35" s="95" t="s">
        <v>214</v>
      </c>
      <c r="C35" s="12" t="s">
        <v>101</v>
      </c>
      <c r="D35" s="30">
        <v>1</v>
      </c>
      <c r="E35" s="42" t="s">
        <v>124</v>
      </c>
      <c r="F35" s="42" t="s">
        <v>67</v>
      </c>
      <c r="G35" s="42"/>
      <c r="H35" s="42" t="s">
        <v>140</v>
      </c>
      <c r="I35" s="42" t="s">
        <v>109</v>
      </c>
      <c r="J35" s="42"/>
      <c r="K35" s="42" t="s">
        <v>125</v>
      </c>
      <c r="L35" s="42" t="s">
        <v>81</v>
      </c>
      <c r="M35" s="42"/>
      <c r="N35" s="42" t="s">
        <v>126</v>
      </c>
      <c r="O35" s="42" t="s">
        <v>108</v>
      </c>
      <c r="P35" s="42"/>
      <c r="Q35" s="42" t="s">
        <v>127</v>
      </c>
      <c r="R35" s="42" t="s">
        <v>128</v>
      </c>
      <c r="S35" s="42"/>
      <c r="T35" s="42" t="s">
        <v>126</v>
      </c>
      <c r="U35" s="42" t="s">
        <v>84</v>
      </c>
      <c r="V35" s="42"/>
      <c r="W35" s="42" t="s">
        <v>122</v>
      </c>
      <c r="X35" s="42" t="s">
        <v>93</v>
      </c>
      <c r="Y35" s="42"/>
      <c r="Z35" s="51" t="s">
        <v>130</v>
      </c>
      <c r="AA35" s="51" t="s">
        <v>153</v>
      </c>
      <c r="AB35" s="51"/>
      <c r="AC35" s="51" t="s">
        <v>130</v>
      </c>
      <c r="AD35" s="51" t="s">
        <v>107</v>
      </c>
      <c r="AE35" s="51"/>
      <c r="AF35" s="51" t="s">
        <v>130</v>
      </c>
      <c r="AG35" s="51" t="s">
        <v>61</v>
      </c>
      <c r="AH35" s="51"/>
      <c r="AI35" s="51" t="s">
        <v>160</v>
      </c>
      <c r="AJ35" s="51" t="s">
        <v>161</v>
      </c>
      <c r="AK35" s="51"/>
      <c r="AL35" s="51" t="s">
        <v>160</v>
      </c>
      <c r="AM35" s="51" t="s">
        <v>149</v>
      </c>
      <c r="AN35" s="51"/>
      <c r="AO35" s="51" t="s">
        <v>160</v>
      </c>
      <c r="AP35" s="51" t="s">
        <v>166</v>
      </c>
      <c r="AQ35" s="51"/>
      <c r="AR35" s="51" t="s">
        <v>160</v>
      </c>
      <c r="AS35" s="51" t="s">
        <v>147</v>
      </c>
      <c r="AT35" s="51"/>
      <c r="AU35" s="50" t="s">
        <v>140</v>
      </c>
      <c r="AV35" s="50" t="s">
        <v>79</v>
      </c>
      <c r="AW35" s="50"/>
      <c r="AX35" s="42" t="s">
        <v>143</v>
      </c>
      <c r="AY35" s="42" t="s">
        <v>76</v>
      </c>
      <c r="AZ35" s="42" t="s">
        <v>53</v>
      </c>
      <c r="BA35" s="51" t="s">
        <v>130</v>
      </c>
      <c r="BB35" s="51" t="s">
        <v>116</v>
      </c>
      <c r="BC35" s="51"/>
      <c r="BD35" s="51" t="s">
        <v>160</v>
      </c>
      <c r="BE35" s="51" t="s">
        <v>118</v>
      </c>
      <c r="BF35" s="51"/>
      <c r="BG35" s="51" t="s">
        <v>130</v>
      </c>
      <c r="BH35" s="51" t="s">
        <v>150</v>
      </c>
      <c r="BI35" s="51"/>
      <c r="BJ35" s="50" t="s">
        <v>140</v>
      </c>
      <c r="BK35" s="50" t="s">
        <v>207</v>
      </c>
      <c r="BL35" s="50"/>
      <c r="BM35" s="42" t="s">
        <v>127</v>
      </c>
      <c r="BN35" s="42" t="s">
        <v>151</v>
      </c>
      <c r="BO35" s="42"/>
      <c r="BP35" s="42" t="s">
        <v>124</v>
      </c>
      <c r="BQ35" s="42" t="s">
        <v>85</v>
      </c>
      <c r="BR35" s="42"/>
      <c r="BS35" s="42" t="s">
        <v>183</v>
      </c>
      <c r="BT35" s="42" t="s">
        <v>60</v>
      </c>
      <c r="BU35" s="42"/>
      <c r="BV35" s="42" t="s">
        <v>178</v>
      </c>
      <c r="BW35" s="42" t="s">
        <v>80</v>
      </c>
      <c r="BX35" s="42" t="s">
        <v>87</v>
      </c>
      <c r="BY35" s="42" t="s">
        <v>178</v>
      </c>
      <c r="BZ35" s="42" t="s">
        <v>80</v>
      </c>
      <c r="CA35" s="42" t="s">
        <v>87</v>
      </c>
      <c r="CB35" s="54" t="s">
        <v>132</v>
      </c>
      <c r="CC35" s="54" t="s">
        <v>72</v>
      </c>
      <c r="CD35" s="54"/>
      <c r="CE35" s="42" t="s">
        <v>124</v>
      </c>
      <c r="CF35" s="42" t="s">
        <v>57</v>
      </c>
      <c r="CG35" s="42"/>
      <c r="CH35" s="42" t="s">
        <v>126</v>
      </c>
      <c r="CI35" s="42" t="s">
        <v>129</v>
      </c>
      <c r="CJ35" s="42"/>
      <c r="CK35" s="42" t="s">
        <v>126</v>
      </c>
      <c r="CL35" s="42" t="s">
        <v>106</v>
      </c>
      <c r="CM35" s="42"/>
      <c r="CN35" s="42" t="s">
        <v>202</v>
      </c>
      <c r="CO35" s="42" t="s">
        <v>138</v>
      </c>
      <c r="CP35" s="42"/>
      <c r="CQ35" s="50" t="s">
        <v>144</v>
      </c>
      <c r="CR35" s="50" t="s">
        <v>58</v>
      </c>
      <c r="CS35" s="50"/>
      <c r="CT35" s="42" t="s">
        <v>144</v>
      </c>
      <c r="CU35" s="42" t="s">
        <v>90</v>
      </c>
      <c r="CV35" s="42"/>
      <c r="CW35" s="42" t="s">
        <v>126</v>
      </c>
      <c r="CX35" s="42" t="s">
        <v>59</v>
      </c>
      <c r="CY35" s="42"/>
      <c r="CZ35" s="42" t="s">
        <v>170</v>
      </c>
      <c r="DA35" s="42" t="s">
        <v>171</v>
      </c>
      <c r="DB35" s="42"/>
      <c r="DC35" s="53" t="s">
        <v>156</v>
      </c>
      <c r="DD35" s="53" t="s">
        <v>157</v>
      </c>
      <c r="DE35" s="53"/>
      <c r="DF35" s="42" t="s">
        <v>64</v>
      </c>
      <c r="DG35" s="42" t="s">
        <v>70</v>
      </c>
      <c r="DH35" s="42" t="s">
        <v>63</v>
      </c>
      <c r="DI35" s="65"/>
      <c r="DJ35" s="63"/>
      <c r="DK35" s="5">
        <f t="shared" si="41"/>
        <v>1</v>
      </c>
      <c r="DL35" s="5">
        <f t="shared" si="42"/>
        <v>0</v>
      </c>
      <c r="DM35" s="5">
        <f t="shared" si="43"/>
        <v>0</v>
      </c>
      <c r="DN35" s="5">
        <f t="shared" si="4"/>
        <v>0</v>
      </c>
      <c r="DO35" s="5">
        <f t="shared" si="44"/>
        <v>1</v>
      </c>
      <c r="DP35" s="5">
        <f t="shared" si="45"/>
        <v>1</v>
      </c>
      <c r="DQ35" s="5">
        <f t="shared" si="5"/>
        <v>1</v>
      </c>
      <c r="DR35" s="5">
        <f t="shared" si="6"/>
        <v>1</v>
      </c>
      <c r="DS35" s="5">
        <f t="shared" si="46"/>
        <v>1</v>
      </c>
      <c r="DT35" s="5">
        <f t="shared" si="7"/>
        <v>0</v>
      </c>
      <c r="DU35" s="5">
        <f t="shared" si="47"/>
        <v>1</v>
      </c>
      <c r="DV35" s="5">
        <f t="shared" si="8"/>
        <v>1</v>
      </c>
      <c r="DW35" s="5">
        <f t="shared" si="48"/>
        <v>0</v>
      </c>
      <c r="DX35" s="5">
        <f t="shared" si="9"/>
        <v>0</v>
      </c>
      <c r="DY35" s="5">
        <f t="shared" si="49"/>
        <v>1</v>
      </c>
      <c r="DZ35" s="5">
        <f t="shared" si="10"/>
        <v>0</v>
      </c>
      <c r="EA35" s="5">
        <f t="shared" si="50"/>
        <v>0</v>
      </c>
      <c r="EB35" s="5">
        <f t="shared" si="11"/>
        <v>1</v>
      </c>
      <c r="EC35" s="5">
        <f t="shared" si="12"/>
        <v>0</v>
      </c>
      <c r="ED35" s="5">
        <f t="shared" si="13"/>
        <v>1</v>
      </c>
      <c r="EE35" s="5">
        <f t="shared" si="51"/>
        <v>0</v>
      </c>
      <c r="EF35" s="5">
        <f t="shared" si="14"/>
        <v>1</v>
      </c>
      <c r="EG35" s="5">
        <f t="shared" si="15"/>
        <v>0</v>
      </c>
      <c r="EH35" s="5">
        <f t="shared" si="52"/>
        <v>0</v>
      </c>
      <c r="EI35" s="5">
        <f t="shared" si="53"/>
        <v>1</v>
      </c>
      <c r="EJ35" s="25">
        <f t="shared" si="16"/>
        <v>1</v>
      </c>
      <c r="EK35" s="5">
        <f t="shared" si="17"/>
        <v>0</v>
      </c>
      <c r="EL35" s="5">
        <f t="shared" si="54"/>
        <v>0</v>
      </c>
      <c r="EM35" s="5">
        <f t="shared" si="18"/>
        <v>1</v>
      </c>
      <c r="EN35" s="5">
        <f t="shared" si="19"/>
        <v>2</v>
      </c>
      <c r="EO35" s="5">
        <f t="shared" si="20"/>
        <v>1</v>
      </c>
      <c r="EP35" s="5">
        <f t="shared" si="21"/>
        <v>0</v>
      </c>
      <c r="EQ35" s="5">
        <f t="shared" si="55"/>
        <v>1</v>
      </c>
      <c r="ER35" s="5">
        <f t="shared" si="22"/>
        <v>0</v>
      </c>
      <c r="ES35" s="5">
        <f t="shared" si="23"/>
        <v>1</v>
      </c>
      <c r="ET35" s="5">
        <f t="shared" si="24"/>
        <v>1</v>
      </c>
      <c r="EU35" s="5">
        <f t="shared" si="56"/>
        <v>0</v>
      </c>
      <c r="EV35" s="5">
        <f t="shared" si="57"/>
        <v>1</v>
      </c>
      <c r="EW35" s="5">
        <f t="shared" si="58"/>
        <v>1</v>
      </c>
      <c r="EX35" s="5">
        <f t="shared" si="25"/>
        <v>2</v>
      </c>
      <c r="EY35" s="5">
        <f t="shared" si="26"/>
        <v>0</v>
      </c>
      <c r="EZ35" s="5">
        <f t="shared" si="27"/>
        <v>0</v>
      </c>
      <c r="FA35" s="5">
        <f t="shared" si="28"/>
        <v>1</v>
      </c>
      <c r="FB35" s="5">
        <f t="shared" si="29"/>
        <v>0</v>
      </c>
      <c r="FC35" s="5">
        <f t="shared" si="30"/>
        <v>0</v>
      </c>
      <c r="FD35" s="5">
        <f t="shared" si="31"/>
        <v>1</v>
      </c>
      <c r="FE35" s="5">
        <f t="shared" si="32"/>
        <v>0</v>
      </c>
      <c r="FF35" s="5">
        <f t="shared" si="33"/>
        <v>0</v>
      </c>
      <c r="FG35" s="5">
        <f t="shared" si="34"/>
        <v>0</v>
      </c>
      <c r="FH35" s="5">
        <f t="shared" si="35"/>
        <v>0</v>
      </c>
      <c r="FI35" s="5">
        <f t="shared" si="36"/>
        <v>1</v>
      </c>
      <c r="FJ35" s="5">
        <f t="shared" si="59"/>
        <v>1</v>
      </c>
      <c r="FK35" s="5">
        <f t="shared" si="37"/>
        <v>0</v>
      </c>
      <c r="FL35" s="5">
        <f t="shared" si="38"/>
        <v>0</v>
      </c>
      <c r="FM35" s="5">
        <f t="shared" si="60"/>
        <v>1</v>
      </c>
      <c r="FN35" s="5">
        <f t="shared" si="39"/>
        <v>0</v>
      </c>
      <c r="FO35" s="28">
        <f t="shared" si="40"/>
        <v>0</v>
      </c>
    </row>
    <row r="36" spans="1:171" ht="25.5" customHeight="1">
      <c r="B36" s="95"/>
      <c r="C36" s="12" t="s">
        <v>121</v>
      </c>
      <c r="D36" s="30">
        <v>2</v>
      </c>
      <c r="E36" s="42" t="s">
        <v>124</v>
      </c>
      <c r="F36" s="42" t="s">
        <v>67</v>
      </c>
      <c r="G36" s="42"/>
      <c r="H36" s="50" t="s">
        <v>124</v>
      </c>
      <c r="I36" s="50" t="s">
        <v>104</v>
      </c>
      <c r="J36" s="50"/>
      <c r="K36" s="42" t="s">
        <v>125</v>
      </c>
      <c r="L36" s="42" t="s">
        <v>81</v>
      </c>
      <c r="M36" s="42"/>
      <c r="N36" s="42" t="s">
        <v>126</v>
      </c>
      <c r="O36" s="42" t="s">
        <v>108</v>
      </c>
      <c r="P36" s="42"/>
      <c r="Q36" s="42" t="s">
        <v>127</v>
      </c>
      <c r="R36" s="42" t="s">
        <v>128</v>
      </c>
      <c r="S36" s="42"/>
      <c r="T36" s="42" t="s">
        <v>124</v>
      </c>
      <c r="U36" s="42" t="s">
        <v>105</v>
      </c>
      <c r="V36" s="42"/>
      <c r="W36" s="42" t="s">
        <v>122</v>
      </c>
      <c r="X36" s="42" t="s">
        <v>93</v>
      </c>
      <c r="Y36" s="42"/>
      <c r="Z36" s="51" t="s">
        <v>130</v>
      </c>
      <c r="AA36" s="51" t="s">
        <v>153</v>
      </c>
      <c r="AB36" s="51"/>
      <c r="AC36" s="51" t="s">
        <v>130</v>
      </c>
      <c r="AD36" s="51" t="s">
        <v>107</v>
      </c>
      <c r="AE36" s="51"/>
      <c r="AF36" s="51" t="s">
        <v>130</v>
      </c>
      <c r="AG36" s="51" t="s">
        <v>61</v>
      </c>
      <c r="AH36" s="51"/>
      <c r="AI36" s="51" t="s">
        <v>160</v>
      </c>
      <c r="AJ36" s="51" t="s">
        <v>161</v>
      </c>
      <c r="AK36" s="51"/>
      <c r="AL36" s="51" t="s">
        <v>160</v>
      </c>
      <c r="AM36" s="51" t="s">
        <v>149</v>
      </c>
      <c r="AN36" s="51"/>
      <c r="AO36" s="51" t="s">
        <v>160</v>
      </c>
      <c r="AP36" s="51" t="s">
        <v>166</v>
      </c>
      <c r="AQ36" s="51"/>
      <c r="AR36" s="51" t="s">
        <v>160</v>
      </c>
      <c r="AS36" s="51" t="s">
        <v>147</v>
      </c>
      <c r="AT36" s="51"/>
      <c r="AU36" s="50" t="s">
        <v>140</v>
      </c>
      <c r="AV36" s="50" t="s">
        <v>79</v>
      </c>
      <c r="AW36" s="50"/>
      <c r="AX36" s="42" t="s">
        <v>143</v>
      </c>
      <c r="AY36" s="42" t="s">
        <v>76</v>
      </c>
      <c r="AZ36" s="42" t="s">
        <v>53</v>
      </c>
      <c r="BA36" s="51" t="s">
        <v>130</v>
      </c>
      <c r="BB36" s="51" t="s">
        <v>116</v>
      </c>
      <c r="BC36" s="51"/>
      <c r="BD36" s="51" t="s">
        <v>160</v>
      </c>
      <c r="BE36" s="51" t="s">
        <v>118</v>
      </c>
      <c r="BF36" s="51"/>
      <c r="BG36" s="51" t="s">
        <v>130</v>
      </c>
      <c r="BH36" s="51" t="s">
        <v>150</v>
      </c>
      <c r="BI36" s="51"/>
      <c r="BJ36" s="68" t="s">
        <v>183</v>
      </c>
      <c r="BK36" s="68" t="s">
        <v>55</v>
      </c>
      <c r="BL36" s="68"/>
      <c r="BM36" s="42" t="s">
        <v>127</v>
      </c>
      <c r="BN36" s="42" t="s">
        <v>151</v>
      </c>
      <c r="BO36" s="42"/>
      <c r="BP36" s="42" t="s">
        <v>124</v>
      </c>
      <c r="BQ36" s="42" t="s">
        <v>85</v>
      </c>
      <c r="BR36" s="42"/>
      <c r="BS36" s="50" t="s">
        <v>140</v>
      </c>
      <c r="BT36" s="50" t="s">
        <v>207</v>
      </c>
      <c r="BU36" s="50"/>
      <c r="BV36" s="42" t="s">
        <v>122</v>
      </c>
      <c r="BW36" s="42" t="s">
        <v>71</v>
      </c>
      <c r="BX36" s="42"/>
      <c r="BY36" s="68" t="s">
        <v>183</v>
      </c>
      <c r="BZ36" s="68" t="s">
        <v>60</v>
      </c>
      <c r="CA36" s="68"/>
      <c r="CB36" s="42" t="s">
        <v>122</v>
      </c>
      <c r="CC36" s="67" t="s">
        <v>94</v>
      </c>
      <c r="CD36" s="42"/>
      <c r="CE36" s="42" t="s">
        <v>124</v>
      </c>
      <c r="CF36" s="42" t="s">
        <v>57</v>
      </c>
      <c r="CG36" s="42"/>
      <c r="CH36" s="42" t="s">
        <v>126</v>
      </c>
      <c r="CI36" s="42" t="s">
        <v>129</v>
      </c>
      <c r="CJ36" s="42"/>
      <c r="CK36" s="42" t="s">
        <v>126</v>
      </c>
      <c r="CL36" s="42" t="s">
        <v>106</v>
      </c>
      <c r="CM36" s="42"/>
      <c r="CN36" s="42" t="s">
        <v>202</v>
      </c>
      <c r="CO36" s="42" t="s">
        <v>138</v>
      </c>
      <c r="CP36" s="42"/>
      <c r="CQ36" s="50" t="s">
        <v>144</v>
      </c>
      <c r="CR36" s="50" t="s">
        <v>58</v>
      </c>
      <c r="CS36" s="50"/>
      <c r="CT36" s="42" t="s">
        <v>144</v>
      </c>
      <c r="CU36" s="42" t="s">
        <v>90</v>
      </c>
      <c r="CV36" s="42"/>
      <c r="CW36" s="42" t="s">
        <v>126</v>
      </c>
      <c r="CX36" s="42" t="s">
        <v>59</v>
      </c>
      <c r="CY36" s="42"/>
      <c r="CZ36" s="42" t="s">
        <v>170</v>
      </c>
      <c r="DA36" s="42" t="s">
        <v>171</v>
      </c>
      <c r="DB36" s="42"/>
      <c r="DC36" s="53" t="s">
        <v>156</v>
      </c>
      <c r="DD36" s="53" t="s">
        <v>157</v>
      </c>
      <c r="DE36" s="53"/>
      <c r="DF36" s="42" t="s">
        <v>64</v>
      </c>
      <c r="DG36" s="42" t="s">
        <v>70</v>
      </c>
      <c r="DH36" s="42" t="s">
        <v>63</v>
      </c>
      <c r="DI36" s="65"/>
      <c r="DJ36" s="63"/>
      <c r="DK36" s="5">
        <f t="shared" si="41"/>
        <v>1</v>
      </c>
      <c r="DL36" s="5">
        <f t="shared" si="42"/>
        <v>0</v>
      </c>
      <c r="DM36" s="5">
        <f t="shared" si="43"/>
        <v>1</v>
      </c>
      <c r="DN36" s="5">
        <f t="shared" si="4"/>
        <v>0</v>
      </c>
      <c r="DO36" s="5">
        <f t="shared" si="44"/>
        <v>1</v>
      </c>
      <c r="DP36" s="5">
        <f t="shared" si="45"/>
        <v>1</v>
      </c>
      <c r="DQ36" s="5">
        <f t="shared" si="5"/>
        <v>1</v>
      </c>
      <c r="DR36" s="5">
        <f t="shared" si="6"/>
        <v>1</v>
      </c>
      <c r="DS36" s="5">
        <f t="shared" si="46"/>
        <v>1</v>
      </c>
      <c r="DT36" s="5">
        <f t="shared" si="7"/>
        <v>0</v>
      </c>
      <c r="DU36" s="5">
        <f t="shared" si="47"/>
        <v>1</v>
      </c>
      <c r="DV36" s="5">
        <f t="shared" si="8"/>
        <v>1</v>
      </c>
      <c r="DW36" s="5">
        <f t="shared" si="48"/>
        <v>0</v>
      </c>
      <c r="DX36" s="5">
        <f t="shared" si="9"/>
        <v>0</v>
      </c>
      <c r="DY36" s="5">
        <f t="shared" si="49"/>
        <v>1</v>
      </c>
      <c r="DZ36" s="5">
        <f t="shared" si="10"/>
        <v>0</v>
      </c>
      <c r="EA36" s="5">
        <f t="shared" si="50"/>
        <v>0</v>
      </c>
      <c r="EB36" s="5">
        <f t="shared" si="11"/>
        <v>1</v>
      </c>
      <c r="EC36" s="5">
        <f t="shared" si="12"/>
        <v>1</v>
      </c>
      <c r="ED36" s="5">
        <f t="shared" si="13"/>
        <v>0</v>
      </c>
      <c r="EE36" s="5">
        <f t="shared" si="51"/>
        <v>0</v>
      </c>
      <c r="EF36" s="5">
        <f t="shared" si="14"/>
        <v>1</v>
      </c>
      <c r="EG36" s="5">
        <f t="shared" si="15"/>
        <v>0</v>
      </c>
      <c r="EH36" s="5">
        <f t="shared" si="52"/>
        <v>0</v>
      </c>
      <c r="EI36" s="5">
        <f t="shared" si="53"/>
        <v>1</v>
      </c>
      <c r="EJ36" s="25">
        <f t="shared" si="16"/>
        <v>1</v>
      </c>
      <c r="EK36" s="5">
        <f t="shared" si="17"/>
        <v>0</v>
      </c>
      <c r="EL36" s="5">
        <f t="shared" si="54"/>
        <v>0</v>
      </c>
      <c r="EM36" s="5">
        <f t="shared" si="18"/>
        <v>1</v>
      </c>
      <c r="EN36" s="5">
        <f t="shared" si="19"/>
        <v>0</v>
      </c>
      <c r="EO36" s="5">
        <f t="shared" si="20"/>
        <v>1</v>
      </c>
      <c r="EP36" s="5">
        <f t="shared" si="21"/>
        <v>0</v>
      </c>
      <c r="EQ36" s="5">
        <f t="shared" si="55"/>
        <v>1</v>
      </c>
      <c r="ER36" s="5">
        <f t="shared" si="22"/>
        <v>0</v>
      </c>
      <c r="ES36" s="5">
        <f t="shared" si="23"/>
        <v>0</v>
      </c>
      <c r="ET36" s="5">
        <f t="shared" si="24"/>
        <v>1</v>
      </c>
      <c r="EU36" s="5">
        <f t="shared" si="56"/>
        <v>0</v>
      </c>
      <c r="EV36" s="5">
        <f t="shared" si="57"/>
        <v>1</v>
      </c>
      <c r="EW36" s="5">
        <f t="shared" si="58"/>
        <v>1</v>
      </c>
      <c r="EX36" s="5">
        <f t="shared" si="25"/>
        <v>0</v>
      </c>
      <c r="EY36" s="5">
        <f t="shared" si="26"/>
        <v>0</v>
      </c>
      <c r="EZ36" s="5">
        <f t="shared" si="27"/>
        <v>0</v>
      </c>
      <c r="FA36" s="5">
        <f t="shared" si="28"/>
        <v>1</v>
      </c>
      <c r="FB36" s="5">
        <f t="shared" si="29"/>
        <v>0</v>
      </c>
      <c r="FC36" s="5">
        <f t="shared" si="30"/>
        <v>0</v>
      </c>
      <c r="FD36" s="5">
        <f t="shared" si="31"/>
        <v>1</v>
      </c>
      <c r="FE36" s="5">
        <f t="shared" si="32"/>
        <v>1</v>
      </c>
      <c r="FF36" s="5">
        <f t="shared" si="33"/>
        <v>0</v>
      </c>
      <c r="FG36" s="5">
        <f t="shared" si="34"/>
        <v>1</v>
      </c>
      <c r="FH36" s="5">
        <f t="shared" si="35"/>
        <v>0</v>
      </c>
      <c r="FI36" s="5">
        <f t="shared" si="36"/>
        <v>1</v>
      </c>
      <c r="FJ36" s="5">
        <f t="shared" si="59"/>
        <v>1</v>
      </c>
      <c r="FK36" s="5">
        <f t="shared" si="37"/>
        <v>0</v>
      </c>
      <c r="FL36" s="5">
        <f t="shared" si="38"/>
        <v>0</v>
      </c>
      <c r="FM36" s="5">
        <f t="shared" si="60"/>
        <v>1</v>
      </c>
      <c r="FN36" s="5">
        <f t="shared" si="39"/>
        <v>0</v>
      </c>
      <c r="FO36" s="28">
        <f t="shared" si="40"/>
        <v>0</v>
      </c>
    </row>
    <row r="37" spans="1:171" ht="25.5" customHeight="1">
      <c r="B37" s="95"/>
      <c r="C37" s="12" t="s">
        <v>145</v>
      </c>
      <c r="D37" s="30">
        <v>3</v>
      </c>
      <c r="E37" s="42" t="s">
        <v>122</v>
      </c>
      <c r="F37" s="42" t="s">
        <v>95</v>
      </c>
      <c r="G37" s="42"/>
      <c r="H37" s="42" t="s">
        <v>125</v>
      </c>
      <c r="I37" s="42" t="s">
        <v>81</v>
      </c>
      <c r="J37" s="42"/>
      <c r="K37" s="50" t="s">
        <v>122</v>
      </c>
      <c r="L37" s="50" t="s">
        <v>94</v>
      </c>
      <c r="M37" s="50"/>
      <c r="N37" s="51" t="s">
        <v>130</v>
      </c>
      <c r="O37" s="51" t="s">
        <v>113</v>
      </c>
      <c r="P37" s="51"/>
      <c r="Q37" s="51" t="s">
        <v>130</v>
      </c>
      <c r="R37" s="51" t="s">
        <v>115</v>
      </c>
      <c r="S37" s="51"/>
      <c r="T37" s="51" t="s">
        <v>130</v>
      </c>
      <c r="U37" s="51" t="s">
        <v>103</v>
      </c>
      <c r="V37" s="51"/>
      <c r="W37" s="51" t="s">
        <v>130</v>
      </c>
      <c r="X37" s="51" t="s">
        <v>107</v>
      </c>
      <c r="Y37" s="51"/>
      <c r="Z37" s="42" t="s">
        <v>210</v>
      </c>
      <c r="AA37" s="42" t="s">
        <v>91</v>
      </c>
      <c r="AB37" s="42" t="s">
        <v>87</v>
      </c>
      <c r="AC37" s="42" t="s">
        <v>126</v>
      </c>
      <c r="AD37" s="42" t="s">
        <v>66</v>
      </c>
      <c r="AE37" s="42"/>
      <c r="AF37" s="42" t="s">
        <v>127</v>
      </c>
      <c r="AG37" s="42" t="s">
        <v>128</v>
      </c>
      <c r="AH37" s="42"/>
      <c r="AI37" s="51" t="s">
        <v>160</v>
      </c>
      <c r="AJ37" s="51" t="s">
        <v>161</v>
      </c>
      <c r="AK37" s="51"/>
      <c r="AL37" s="51" t="s">
        <v>160</v>
      </c>
      <c r="AM37" s="51" t="s">
        <v>149</v>
      </c>
      <c r="AN37" s="51"/>
      <c r="AO37" s="51" t="s">
        <v>160</v>
      </c>
      <c r="AP37" s="51" t="s">
        <v>166</v>
      </c>
      <c r="AQ37" s="51"/>
      <c r="AR37" s="51" t="s">
        <v>160</v>
      </c>
      <c r="AS37" s="51" t="s">
        <v>147</v>
      </c>
      <c r="AT37" s="51"/>
      <c r="AU37" s="42" t="s">
        <v>143</v>
      </c>
      <c r="AV37" s="42" t="s">
        <v>73</v>
      </c>
      <c r="AW37" s="42" t="s">
        <v>53</v>
      </c>
      <c r="AX37" s="42" t="s">
        <v>125</v>
      </c>
      <c r="AY37" s="42" t="s">
        <v>77</v>
      </c>
      <c r="AZ37" s="42"/>
      <c r="BA37" s="50" t="s">
        <v>140</v>
      </c>
      <c r="BB37" s="50" t="s">
        <v>79</v>
      </c>
      <c r="BC37" s="50"/>
      <c r="BD37" s="42" t="s">
        <v>126</v>
      </c>
      <c r="BE37" s="42" t="s">
        <v>83</v>
      </c>
      <c r="BF37" s="42"/>
      <c r="BG37" s="42" t="s">
        <v>124</v>
      </c>
      <c r="BH37" s="42" t="s">
        <v>69</v>
      </c>
      <c r="BI37" s="42" t="s">
        <v>57</v>
      </c>
      <c r="BJ37" s="42" t="s">
        <v>143</v>
      </c>
      <c r="BK37" s="42" t="s">
        <v>184</v>
      </c>
      <c r="BL37" s="42" t="s">
        <v>54</v>
      </c>
      <c r="BM37" s="42" t="s">
        <v>130</v>
      </c>
      <c r="BN37" s="42" t="s">
        <v>111</v>
      </c>
      <c r="BO37" s="42"/>
      <c r="BP37" s="50" t="s">
        <v>140</v>
      </c>
      <c r="BQ37" s="50" t="s">
        <v>207</v>
      </c>
      <c r="BR37" s="50"/>
      <c r="BS37" s="42" t="s">
        <v>124</v>
      </c>
      <c r="BT37" s="42" t="s">
        <v>85</v>
      </c>
      <c r="BU37" s="42"/>
      <c r="BV37" s="42" t="s">
        <v>132</v>
      </c>
      <c r="BW37" s="42" t="s">
        <v>72</v>
      </c>
      <c r="BX37" s="42"/>
      <c r="BY37" s="68" t="s">
        <v>134</v>
      </c>
      <c r="BZ37" s="68" t="s">
        <v>135</v>
      </c>
      <c r="CA37" s="68" t="s">
        <v>136</v>
      </c>
      <c r="CB37" s="42" t="s">
        <v>123</v>
      </c>
      <c r="CC37" s="57" t="s">
        <v>74</v>
      </c>
      <c r="CD37" s="42"/>
      <c r="CE37" s="68" t="s">
        <v>127</v>
      </c>
      <c r="CF37" s="68" t="s">
        <v>151</v>
      </c>
      <c r="CG37" s="42"/>
      <c r="CH37" s="42" t="s">
        <v>176</v>
      </c>
      <c r="CI37" s="42" t="s">
        <v>133</v>
      </c>
      <c r="CJ37" s="42" t="s">
        <v>116</v>
      </c>
      <c r="CK37" s="72" t="s">
        <v>141</v>
      </c>
      <c r="CL37" s="72" t="s">
        <v>153</v>
      </c>
      <c r="CM37" s="72"/>
      <c r="CN37" s="42" t="s">
        <v>160</v>
      </c>
      <c r="CO37" s="42" t="s">
        <v>118</v>
      </c>
      <c r="CP37" s="42"/>
      <c r="CQ37" s="53" t="s">
        <v>130</v>
      </c>
      <c r="CR37" s="53" t="s">
        <v>119</v>
      </c>
      <c r="CS37" s="53"/>
      <c r="CT37" s="53" t="s">
        <v>134</v>
      </c>
      <c r="CU37" s="53" t="s">
        <v>120</v>
      </c>
      <c r="CV37" s="53"/>
      <c r="CW37" s="53" t="s">
        <v>156</v>
      </c>
      <c r="CX37" s="53" t="s">
        <v>157</v>
      </c>
      <c r="CY37" s="53"/>
      <c r="CZ37" s="42" t="s">
        <v>126</v>
      </c>
      <c r="DA37" s="42" t="s">
        <v>59</v>
      </c>
      <c r="DB37" s="42"/>
      <c r="DC37" s="50" t="s">
        <v>144</v>
      </c>
      <c r="DD37" s="50" t="s">
        <v>58</v>
      </c>
      <c r="DE37" s="50"/>
      <c r="DF37" s="42"/>
      <c r="DG37" s="42" t="s">
        <v>70</v>
      </c>
      <c r="DH37" s="42" t="s">
        <v>63</v>
      </c>
      <c r="DI37" s="65"/>
      <c r="DJ37" s="63"/>
      <c r="DK37" s="5">
        <f t="shared" si="41"/>
        <v>1</v>
      </c>
      <c r="DL37" s="5">
        <f t="shared" si="42"/>
        <v>1</v>
      </c>
      <c r="DM37" s="5">
        <f t="shared" si="43"/>
        <v>0</v>
      </c>
      <c r="DN37" s="5">
        <f t="shared" si="4"/>
        <v>0</v>
      </c>
      <c r="DO37" s="5">
        <f t="shared" si="44"/>
        <v>1</v>
      </c>
      <c r="DP37" s="5">
        <f t="shared" si="45"/>
        <v>1</v>
      </c>
      <c r="DQ37" s="5">
        <f t="shared" si="5"/>
        <v>1</v>
      </c>
      <c r="DR37" s="5">
        <f t="shared" si="6"/>
        <v>0</v>
      </c>
      <c r="DS37" s="5">
        <f t="shared" si="46"/>
        <v>0</v>
      </c>
      <c r="DT37" s="5">
        <f t="shared" si="7"/>
        <v>0</v>
      </c>
      <c r="DU37" s="5">
        <f t="shared" si="47"/>
        <v>1</v>
      </c>
      <c r="DV37" s="5">
        <f t="shared" si="8"/>
        <v>0</v>
      </c>
      <c r="DW37" s="5">
        <f t="shared" si="48"/>
        <v>0</v>
      </c>
      <c r="DX37" s="5">
        <f t="shared" si="9"/>
        <v>1</v>
      </c>
      <c r="DY37" s="5">
        <f t="shared" si="49"/>
        <v>0</v>
      </c>
      <c r="DZ37" s="5">
        <f t="shared" si="10"/>
        <v>0</v>
      </c>
      <c r="EA37" s="5">
        <f t="shared" si="50"/>
        <v>1</v>
      </c>
      <c r="EB37" s="5">
        <f t="shared" si="11"/>
        <v>1</v>
      </c>
      <c r="EC37" s="5">
        <f t="shared" si="12"/>
        <v>0</v>
      </c>
      <c r="ED37" s="5">
        <f t="shared" si="13"/>
        <v>1</v>
      </c>
      <c r="EE37" s="5">
        <f t="shared" si="51"/>
        <v>1</v>
      </c>
      <c r="EF37" s="5">
        <f t="shared" si="14"/>
        <v>1</v>
      </c>
      <c r="EG37" s="5">
        <f t="shared" si="15"/>
        <v>1</v>
      </c>
      <c r="EH37" s="5">
        <f t="shared" si="52"/>
        <v>0</v>
      </c>
      <c r="EI37" s="5">
        <f t="shared" si="53"/>
        <v>0</v>
      </c>
      <c r="EJ37" s="25">
        <f t="shared" si="16"/>
        <v>1</v>
      </c>
      <c r="EK37" s="5">
        <f t="shared" si="17"/>
        <v>1</v>
      </c>
      <c r="EL37" s="5">
        <f t="shared" si="54"/>
        <v>0</v>
      </c>
      <c r="EM37" s="5">
        <f t="shared" si="18"/>
        <v>1</v>
      </c>
      <c r="EN37" s="5">
        <f t="shared" si="19"/>
        <v>0</v>
      </c>
      <c r="EO37" s="5">
        <f t="shared" si="20"/>
        <v>1</v>
      </c>
      <c r="EP37" s="5">
        <f t="shared" si="21"/>
        <v>1</v>
      </c>
      <c r="EQ37" s="5">
        <f t="shared" si="55"/>
        <v>1</v>
      </c>
      <c r="ER37" s="5">
        <f t="shared" si="22"/>
        <v>1</v>
      </c>
      <c r="ES37" s="5">
        <f t="shared" si="23"/>
        <v>0</v>
      </c>
      <c r="ET37" s="5">
        <f t="shared" si="24"/>
        <v>1</v>
      </c>
      <c r="EU37" s="5">
        <f t="shared" si="56"/>
        <v>1</v>
      </c>
      <c r="EV37" s="5">
        <f t="shared" si="57"/>
        <v>1</v>
      </c>
      <c r="EW37" s="5">
        <f t="shared" si="58"/>
        <v>1</v>
      </c>
      <c r="EX37" s="5">
        <f t="shared" si="25"/>
        <v>1</v>
      </c>
      <c r="EY37" s="5">
        <f t="shared" si="26"/>
        <v>0</v>
      </c>
      <c r="EZ37" s="5">
        <f t="shared" si="27"/>
        <v>0</v>
      </c>
      <c r="FA37" s="5">
        <f t="shared" si="28"/>
        <v>0</v>
      </c>
      <c r="FB37" s="5">
        <f t="shared" si="29"/>
        <v>1</v>
      </c>
      <c r="FC37" s="5">
        <f t="shared" si="30"/>
        <v>0</v>
      </c>
      <c r="FD37" s="5">
        <f t="shared" si="31"/>
        <v>0</v>
      </c>
      <c r="FE37" s="5">
        <f t="shared" si="32"/>
        <v>1</v>
      </c>
      <c r="FF37" s="5">
        <f t="shared" si="33"/>
        <v>1</v>
      </c>
      <c r="FG37" s="5">
        <f t="shared" si="34"/>
        <v>0</v>
      </c>
      <c r="FH37" s="5">
        <f t="shared" si="35"/>
        <v>0</v>
      </c>
      <c r="FI37" s="5">
        <f t="shared" si="36"/>
        <v>1</v>
      </c>
      <c r="FJ37" s="5">
        <f t="shared" si="59"/>
        <v>1</v>
      </c>
      <c r="FK37" s="5">
        <f t="shared" si="37"/>
        <v>1</v>
      </c>
      <c r="FL37" s="5">
        <f t="shared" si="38"/>
        <v>0</v>
      </c>
      <c r="FM37" s="5">
        <f t="shared" si="60"/>
        <v>1</v>
      </c>
      <c r="FN37" s="5">
        <f t="shared" si="39"/>
        <v>0</v>
      </c>
      <c r="FO37" s="28">
        <f t="shared" si="40"/>
        <v>0</v>
      </c>
    </row>
    <row r="38" spans="1:171" ht="25.5" customHeight="1">
      <c r="B38" s="95"/>
      <c r="C38" s="12" t="s">
        <v>154</v>
      </c>
      <c r="D38" s="30">
        <v>4</v>
      </c>
      <c r="E38" s="50" t="s">
        <v>124</v>
      </c>
      <c r="F38" s="50" t="s">
        <v>67</v>
      </c>
      <c r="G38" s="50"/>
      <c r="H38" s="42" t="s">
        <v>125</v>
      </c>
      <c r="I38" s="42" t="s">
        <v>81</v>
      </c>
      <c r="J38" s="42"/>
      <c r="K38" s="42" t="s">
        <v>122</v>
      </c>
      <c r="L38" s="42" t="s">
        <v>94</v>
      </c>
      <c r="M38" s="42"/>
      <c r="N38" s="51" t="s">
        <v>130</v>
      </c>
      <c r="O38" s="51" t="s">
        <v>113</v>
      </c>
      <c r="P38" s="51"/>
      <c r="Q38" s="51" t="s">
        <v>130</v>
      </c>
      <c r="R38" s="51" t="s">
        <v>115</v>
      </c>
      <c r="S38" s="51"/>
      <c r="T38" s="51" t="s">
        <v>130</v>
      </c>
      <c r="U38" s="51" t="s">
        <v>103</v>
      </c>
      <c r="V38" s="51"/>
      <c r="W38" s="51" t="s">
        <v>130</v>
      </c>
      <c r="X38" s="51" t="s">
        <v>107</v>
      </c>
      <c r="Y38" s="51"/>
      <c r="Z38" s="42" t="s">
        <v>140</v>
      </c>
      <c r="AA38" s="42" t="s">
        <v>109</v>
      </c>
      <c r="AB38" s="42"/>
      <c r="AC38" s="42" t="s">
        <v>126</v>
      </c>
      <c r="AD38" s="42" t="s">
        <v>66</v>
      </c>
      <c r="AE38" s="42"/>
      <c r="AF38" s="42" t="s">
        <v>127</v>
      </c>
      <c r="AG38" s="42" t="s">
        <v>128</v>
      </c>
      <c r="AH38" s="42"/>
      <c r="AI38" s="42" t="s">
        <v>123</v>
      </c>
      <c r="AJ38" s="42" t="s">
        <v>74</v>
      </c>
      <c r="AK38" s="42"/>
      <c r="AL38" s="42" t="s">
        <v>122</v>
      </c>
      <c r="AM38" s="42" t="s">
        <v>95</v>
      </c>
      <c r="AN38" s="42"/>
      <c r="AO38" s="42" t="s">
        <v>132</v>
      </c>
      <c r="AP38" s="42" t="s">
        <v>72</v>
      </c>
      <c r="AQ38" s="42"/>
      <c r="AR38" s="42" t="s">
        <v>124</v>
      </c>
      <c r="AS38" s="42" t="s">
        <v>104</v>
      </c>
      <c r="AT38" s="42"/>
      <c r="AU38" s="42" t="s">
        <v>143</v>
      </c>
      <c r="AV38" s="42" t="s">
        <v>73</v>
      </c>
      <c r="AW38" s="42" t="s">
        <v>53</v>
      </c>
      <c r="AX38" s="42" t="s">
        <v>125</v>
      </c>
      <c r="AY38" s="42" t="s">
        <v>77</v>
      </c>
      <c r="AZ38" s="42"/>
      <c r="BA38" s="50" t="s">
        <v>140</v>
      </c>
      <c r="BB38" s="50" t="s">
        <v>79</v>
      </c>
      <c r="BC38" s="50"/>
      <c r="BD38" s="42" t="s">
        <v>126</v>
      </c>
      <c r="BE38" s="42" t="s">
        <v>83</v>
      </c>
      <c r="BF38" s="42"/>
      <c r="BG38" s="42" t="s">
        <v>124</v>
      </c>
      <c r="BH38" s="42" t="s">
        <v>69</v>
      </c>
      <c r="BI38" s="42" t="s">
        <v>57</v>
      </c>
      <c r="BJ38" s="42" t="s">
        <v>143</v>
      </c>
      <c r="BK38" s="42" t="s">
        <v>184</v>
      </c>
      <c r="BL38" s="42" t="s">
        <v>54</v>
      </c>
      <c r="BM38" s="50" t="s">
        <v>140</v>
      </c>
      <c r="BN38" s="50" t="s">
        <v>207</v>
      </c>
      <c r="BO38" s="50"/>
      <c r="BP38" s="42" t="s">
        <v>137</v>
      </c>
      <c r="BQ38" s="42" t="s">
        <v>138</v>
      </c>
      <c r="BR38" s="42" t="s">
        <v>139</v>
      </c>
      <c r="BS38" s="42" t="s">
        <v>124</v>
      </c>
      <c r="BT38" s="42" t="s">
        <v>85</v>
      </c>
      <c r="BU38" s="42"/>
      <c r="BV38" s="54" t="s">
        <v>130</v>
      </c>
      <c r="BW38" s="54" t="s">
        <v>61</v>
      </c>
      <c r="BX38" s="54"/>
      <c r="BY38" s="68" t="s">
        <v>134</v>
      </c>
      <c r="BZ38" s="68" t="s">
        <v>135</v>
      </c>
      <c r="CA38" s="68" t="s">
        <v>136</v>
      </c>
      <c r="CB38" s="42" t="s">
        <v>178</v>
      </c>
      <c r="CC38" s="42" t="s">
        <v>108</v>
      </c>
      <c r="CD38" s="42" t="s">
        <v>60</v>
      </c>
      <c r="CE38" s="68" t="s">
        <v>127</v>
      </c>
      <c r="CF38" s="68" t="s">
        <v>151</v>
      </c>
      <c r="CG38" s="42"/>
      <c r="CH38" s="42" t="s">
        <v>176</v>
      </c>
      <c r="CI38" s="42" t="s">
        <v>133</v>
      </c>
      <c r="CJ38" s="42" t="s">
        <v>116</v>
      </c>
      <c r="CK38" s="72" t="s">
        <v>141</v>
      </c>
      <c r="CL38" s="72" t="s">
        <v>153</v>
      </c>
      <c r="CM38" s="72"/>
      <c r="CN38" s="42" t="s">
        <v>160</v>
      </c>
      <c r="CO38" s="42" t="s">
        <v>118</v>
      </c>
      <c r="CP38" s="42"/>
      <c r="CQ38" s="53" t="s">
        <v>130</v>
      </c>
      <c r="CR38" s="53" t="s">
        <v>119</v>
      </c>
      <c r="CS38" s="53"/>
      <c r="CT38" s="53" t="s">
        <v>134</v>
      </c>
      <c r="CU38" s="53" t="s">
        <v>120</v>
      </c>
      <c r="CV38" s="53" t="s">
        <v>215</v>
      </c>
      <c r="CW38" s="42" t="s">
        <v>204</v>
      </c>
      <c r="CX38" s="42" t="s">
        <v>205</v>
      </c>
      <c r="CY38" s="42"/>
      <c r="CZ38" s="53" t="s">
        <v>156</v>
      </c>
      <c r="DA38" s="53" t="s">
        <v>157</v>
      </c>
      <c r="DB38" s="53"/>
      <c r="DC38" s="50" t="s">
        <v>144</v>
      </c>
      <c r="DD38" s="50" t="s">
        <v>58</v>
      </c>
      <c r="DE38" s="50"/>
      <c r="DF38" s="42"/>
      <c r="DG38" s="42" t="s">
        <v>70</v>
      </c>
      <c r="DH38" s="42" t="s">
        <v>63</v>
      </c>
      <c r="DI38" s="65"/>
      <c r="DJ38" s="63"/>
      <c r="DK38" s="5">
        <f t="shared" si="41"/>
        <v>1</v>
      </c>
      <c r="DL38" s="5">
        <f t="shared" si="42"/>
        <v>1</v>
      </c>
      <c r="DM38" s="5">
        <f t="shared" si="43"/>
        <v>0</v>
      </c>
      <c r="DN38" s="5">
        <f t="shared" si="4"/>
        <v>0</v>
      </c>
      <c r="DO38" s="5">
        <f t="shared" si="44"/>
        <v>1</v>
      </c>
      <c r="DP38" s="5">
        <f t="shared" si="45"/>
        <v>1</v>
      </c>
      <c r="DQ38" s="5">
        <f t="shared" si="5"/>
        <v>0</v>
      </c>
      <c r="DR38" s="5">
        <f t="shared" si="6"/>
        <v>1</v>
      </c>
      <c r="DS38" s="5">
        <f t="shared" si="46"/>
        <v>1</v>
      </c>
      <c r="DT38" s="5">
        <f t="shared" si="7"/>
        <v>0</v>
      </c>
      <c r="DU38" s="5">
        <f t="shared" si="47"/>
        <v>1</v>
      </c>
      <c r="DV38" s="5">
        <f t="shared" si="8"/>
        <v>0</v>
      </c>
      <c r="DW38" s="5">
        <f t="shared" si="48"/>
        <v>0</v>
      </c>
      <c r="DX38" s="5">
        <f t="shared" si="9"/>
        <v>1</v>
      </c>
      <c r="DY38" s="5">
        <f t="shared" si="49"/>
        <v>1</v>
      </c>
      <c r="DZ38" s="5">
        <f t="shared" si="10"/>
        <v>0</v>
      </c>
      <c r="EA38" s="5">
        <f t="shared" si="50"/>
        <v>1</v>
      </c>
      <c r="EB38" s="5">
        <f t="shared" si="11"/>
        <v>1</v>
      </c>
      <c r="EC38" s="5">
        <f t="shared" si="12"/>
        <v>0</v>
      </c>
      <c r="ED38" s="5">
        <f t="shared" si="13"/>
        <v>1</v>
      </c>
      <c r="EE38" s="5">
        <f t="shared" si="51"/>
        <v>1</v>
      </c>
      <c r="EF38" s="5">
        <f t="shared" si="14"/>
        <v>1</v>
      </c>
      <c r="EG38" s="5">
        <f t="shared" si="15"/>
        <v>1</v>
      </c>
      <c r="EH38" s="5">
        <f t="shared" si="52"/>
        <v>0</v>
      </c>
      <c r="EI38" s="5">
        <f t="shared" si="53"/>
        <v>0</v>
      </c>
      <c r="EJ38" s="25">
        <f t="shared" si="16"/>
        <v>1</v>
      </c>
      <c r="EK38" s="5">
        <f t="shared" si="17"/>
        <v>1</v>
      </c>
      <c r="EL38" s="5">
        <f t="shared" si="54"/>
        <v>0</v>
      </c>
      <c r="EM38" s="5">
        <f t="shared" si="18"/>
        <v>1</v>
      </c>
      <c r="EN38" s="5">
        <f t="shared" si="19"/>
        <v>0</v>
      </c>
      <c r="EO38" s="5">
        <f t="shared" si="20"/>
        <v>1</v>
      </c>
      <c r="EP38" s="5">
        <f t="shared" si="21"/>
        <v>1</v>
      </c>
      <c r="EQ38" s="5">
        <f t="shared" si="55"/>
        <v>1</v>
      </c>
      <c r="ER38" s="5">
        <f t="shared" si="22"/>
        <v>1</v>
      </c>
      <c r="ES38" s="5">
        <f t="shared" si="23"/>
        <v>0</v>
      </c>
      <c r="ET38" s="5">
        <f t="shared" si="24"/>
        <v>0</v>
      </c>
      <c r="EU38" s="5">
        <f t="shared" si="56"/>
        <v>1</v>
      </c>
      <c r="EV38" s="5">
        <f t="shared" si="57"/>
        <v>1</v>
      </c>
      <c r="EW38" s="5">
        <f t="shared" si="58"/>
        <v>1</v>
      </c>
      <c r="EX38" s="5">
        <f t="shared" si="25"/>
        <v>0</v>
      </c>
      <c r="EY38" s="5">
        <f t="shared" si="26"/>
        <v>0</v>
      </c>
      <c r="EZ38" s="5">
        <f t="shared" si="27"/>
        <v>0</v>
      </c>
      <c r="FA38" s="5">
        <f t="shared" si="28"/>
        <v>0</v>
      </c>
      <c r="FB38" s="5">
        <f t="shared" si="29"/>
        <v>0</v>
      </c>
      <c r="FC38" s="5">
        <f t="shared" si="30"/>
        <v>0</v>
      </c>
      <c r="FD38" s="5">
        <f t="shared" si="31"/>
        <v>0</v>
      </c>
      <c r="FE38" s="5">
        <f t="shared" si="32"/>
        <v>1</v>
      </c>
      <c r="FF38" s="5">
        <f t="shared" si="33"/>
        <v>1</v>
      </c>
      <c r="FG38" s="5">
        <f t="shared" si="34"/>
        <v>0</v>
      </c>
      <c r="FH38" s="5">
        <f t="shared" si="35"/>
        <v>0</v>
      </c>
      <c r="FI38" s="5">
        <f t="shared" si="36"/>
        <v>1</v>
      </c>
      <c r="FJ38" s="5">
        <f t="shared" si="59"/>
        <v>1</v>
      </c>
      <c r="FK38" s="5">
        <f t="shared" si="37"/>
        <v>1</v>
      </c>
      <c r="FL38" s="5">
        <f t="shared" si="38"/>
        <v>0</v>
      </c>
      <c r="FM38" s="5">
        <f t="shared" si="60"/>
        <v>1</v>
      </c>
      <c r="FN38" s="5">
        <f t="shared" si="39"/>
        <v>0</v>
      </c>
      <c r="FO38" s="28">
        <f t="shared" si="40"/>
        <v>0</v>
      </c>
    </row>
    <row r="39" spans="1:171" ht="25.5" customHeight="1">
      <c r="B39" s="95"/>
      <c r="C39" s="12" t="s">
        <v>158</v>
      </c>
      <c r="D39" s="30">
        <v>5</v>
      </c>
      <c r="E39" s="51" t="s">
        <v>137</v>
      </c>
      <c r="F39" s="51" t="s">
        <v>139</v>
      </c>
      <c r="G39" s="51"/>
      <c r="H39" s="51" t="s">
        <v>130</v>
      </c>
      <c r="I39" s="51" t="s">
        <v>103</v>
      </c>
      <c r="J39" s="51"/>
      <c r="K39" s="51" t="s">
        <v>134</v>
      </c>
      <c r="L39" s="51" t="s">
        <v>153</v>
      </c>
      <c r="M39" s="51"/>
      <c r="N39" s="42" t="s">
        <v>125</v>
      </c>
      <c r="O39" s="42" t="s">
        <v>81</v>
      </c>
      <c r="P39" s="42"/>
      <c r="Q39" s="42" t="s">
        <v>122</v>
      </c>
      <c r="R39" s="42" t="s">
        <v>99</v>
      </c>
      <c r="S39" s="42"/>
      <c r="T39" s="42" t="s">
        <v>127</v>
      </c>
      <c r="U39" s="42" t="s">
        <v>128</v>
      </c>
      <c r="V39" s="42"/>
      <c r="W39" s="42" t="s">
        <v>143</v>
      </c>
      <c r="X39" s="42" t="s">
        <v>73</v>
      </c>
      <c r="Y39" s="42" t="s">
        <v>53</v>
      </c>
      <c r="Z39" s="42" t="s">
        <v>159</v>
      </c>
      <c r="AA39" s="42" t="s">
        <v>68</v>
      </c>
      <c r="AB39" s="42"/>
      <c r="AC39" s="42" t="s">
        <v>122</v>
      </c>
      <c r="AD39" s="42" t="s">
        <v>95</v>
      </c>
      <c r="AE39" s="42"/>
      <c r="AF39" s="42" t="s">
        <v>124</v>
      </c>
      <c r="AG39" s="42" t="s">
        <v>129</v>
      </c>
      <c r="AH39" s="42"/>
      <c r="AI39" s="42" t="s">
        <v>122</v>
      </c>
      <c r="AJ39" s="42" t="s">
        <v>94</v>
      </c>
      <c r="AK39" s="42"/>
      <c r="AL39" s="42" t="s">
        <v>123</v>
      </c>
      <c r="AM39" s="42" t="s">
        <v>74</v>
      </c>
      <c r="AN39" s="42"/>
      <c r="AO39" s="42" t="s">
        <v>140</v>
      </c>
      <c r="AP39" s="42" t="s">
        <v>109</v>
      </c>
      <c r="AQ39" s="42"/>
      <c r="AR39" s="42" t="s">
        <v>126</v>
      </c>
      <c r="AS39" s="42" t="s">
        <v>108</v>
      </c>
      <c r="AT39" s="42"/>
      <c r="AU39" s="42" t="s">
        <v>211</v>
      </c>
      <c r="AV39" s="42" t="s">
        <v>56</v>
      </c>
      <c r="AW39" s="42"/>
      <c r="AX39" s="42" t="s">
        <v>124</v>
      </c>
      <c r="AY39" s="42" t="s">
        <v>97</v>
      </c>
      <c r="AZ39" s="42"/>
      <c r="BA39" s="42" t="s">
        <v>126</v>
      </c>
      <c r="BB39" s="42" t="s">
        <v>83</v>
      </c>
      <c r="BC39" s="42"/>
      <c r="BD39" s="51" t="s">
        <v>141</v>
      </c>
      <c r="BE39" s="51" t="s">
        <v>118</v>
      </c>
      <c r="BF39" s="51"/>
      <c r="BG39" s="51" t="s">
        <v>164</v>
      </c>
      <c r="BH39" s="51" t="s">
        <v>216</v>
      </c>
      <c r="BI39" s="51"/>
      <c r="BJ39" s="42" t="s">
        <v>124</v>
      </c>
      <c r="BK39" s="42" t="s">
        <v>58</v>
      </c>
      <c r="BL39" s="42"/>
      <c r="BM39" s="42" t="s">
        <v>126</v>
      </c>
      <c r="BN39" s="42" t="s">
        <v>84</v>
      </c>
      <c r="BO39" s="42"/>
      <c r="BP39" s="42" t="s">
        <v>210</v>
      </c>
      <c r="BQ39" s="42" t="s">
        <v>85</v>
      </c>
      <c r="BR39" s="42" t="s">
        <v>60</v>
      </c>
      <c r="BS39" s="42" t="s">
        <v>210</v>
      </c>
      <c r="BT39" s="42" t="s">
        <v>85</v>
      </c>
      <c r="BU39" s="42" t="s">
        <v>60</v>
      </c>
      <c r="BV39" s="42" t="s">
        <v>137</v>
      </c>
      <c r="BW39" s="42" t="s">
        <v>138</v>
      </c>
      <c r="BX39" s="42" t="s">
        <v>80</v>
      </c>
      <c r="BY39" s="68" t="s">
        <v>132</v>
      </c>
      <c r="BZ39" s="68" t="s">
        <v>72</v>
      </c>
      <c r="CA39" s="68"/>
      <c r="CB39" s="42" t="s">
        <v>130</v>
      </c>
      <c r="CC39" s="42" t="s">
        <v>133</v>
      </c>
      <c r="CD39" s="42" t="s">
        <v>114</v>
      </c>
      <c r="CE39" s="68" t="s">
        <v>134</v>
      </c>
      <c r="CF39" s="68" t="s">
        <v>166</v>
      </c>
      <c r="CG39" s="68" t="s">
        <v>136</v>
      </c>
      <c r="CH39" s="50" t="s">
        <v>141</v>
      </c>
      <c r="CI39" s="50" t="s">
        <v>116</v>
      </c>
      <c r="CJ39" s="42"/>
      <c r="CK39" s="50" t="s">
        <v>140</v>
      </c>
      <c r="CL39" s="50" t="s">
        <v>79</v>
      </c>
      <c r="CM39" s="50"/>
      <c r="CN39" s="42" t="s">
        <v>124</v>
      </c>
      <c r="CO39" s="42" t="s">
        <v>105</v>
      </c>
      <c r="CP39" s="42"/>
      <c r="CQ39" s="42" t="s">
        <v>217</v>
      </c>
      <c r="CR39" s="42" t="s">
        <v>87</v>
      </c>
      <c r="CS39" s="42" t="s">
        <v>59</v>
      </c>
      <c r="CT39" s="42" t="s">
        <v>192</v>
      </c>
      <c r="CU39" s="42" t="s">
        <v>63</v>
      </c>
      <c r="CV39" s="42"/>
      <c r="CW39" s="53" t="s">
        <v>168</v>
      </c>
      <c r="CX39" s="53" t="s">
        <v>119</v>
      </c>
      <c r="CY39" s="53"/>
      <c r="CZ39" s="50" t="s">
        <v>194</v>
      </c>
      <c r="DA39" s="50" t="s">
        <v>205</v>
      </c>
      <c r="DB39" s="50" t="s">
        <v>55</v>
      </c>
      <c r="DC39" s="50" t="s">
        <v>194</v>
      </c>
      <c r="DD39" s="50" t="s">
        <v>171</v>
      </c>
      <c r="DE39" s="50" t="s">
        <v>87</v>
      </c>
      <c r="DF39" s="42"/>
      <c r="DG39" s="42"/>
      <c r="DH39" s="42"/>
      <c r="DI39" s="65"/>
      <c r="DJ39" s="63"/>
      <c r="DK39" s="5">
        <f t="shared" si="41"/>
        <v>1</v>
      </c>
      <c r="DL39" s="5">
        <f t="shared" si="42"/>
        <v>0</v>
      </c>
      <c r="DM39" s="5">
        <f t="shared" si="43"/>
        <v>1</v>
      </c>
      <c r="DN39" s="5">
        <f t="shared" si="4"/>
        <v>1</v>
      </c>
      <c r="DO39" s="5">
        <f t="shared" si="44"/>
        <v>0</v>
      </c>
      <c r="DP39" s="5">
        <f t="shared" si="45"/>
        <v>1</v>
      </c>
      <c r="DQ39" s="5">
        <f t="shared" si="5"/>
        <v>1</v>
      </c>
      <c r="DR39" s="5">
        <f t="shared" si="6"/>
        <v>2</v>
      </c>
      <c r="DS39" s="5">
        <f t="shared" si="46"/>
        <v>0</v>
      </c>
      <c r="DT39" s="5">
        <f t="shared" si="7"/>
        <v>0</v>
      </c>
      <c r="DU39" s="5">
        <f t="shared" si="47"/>
        <v>1</v>
      </c>
      <c r="DV39" s="5">
        <f t="shared" si="8"/>
        <v>0</v>
      </c>
      <c r="DW39" s="5">
        <f t="shared" si="48"/>
        <v>0</v>
      </c>
      <c r="DX39" s="5">
        <f t="shared" si="9"/>
        <v>0</v>
      </c>
      <c r="DY39" s="5">
        <f t="shared" si="49"/>
        <v>0</v>
      </c>
      <c r="DZ39" s="5">
        <f t="shared" si="10"/>
        <v>1</v>
      </c>
      <c r="EA39" s="5">
        <f t="shared" si="50"/>
        <v>0</v>
      </c>
      <c r="EB39" s="5">
        <f t="shared" si="11"/>
        <v>0</v>
      </c>
      <c r="EC39" s="5">
        <f t="shared" si="12"/>
        <v>0</v>
      </c>
      <c r="ED39" s="5">
        <f t="shared" si="13"/>
        <v>1</v>
      </c>
      <c r="EE39" s="5">
        <f t="shared" si="51"/>
        <v>1</v>
      </c>
      <c r="EF39" s="5">
        <f t="shared" si="14"/>
        <v>1</v>
      </c>
      <c r="EG39" s="5">
        <f t="shared" si="15"/>
        <v>1</v>
      </c>
      <c r="EH39" s="5">
        <f t="shared" si="52"/>
        <v>0</v>
      </c>
      <c r="EI39" s="5">
        <f t="shared" si="53"/>
        <v>0</v>
      </c>
      <c r="EJ39" s="5">
        <f t="shared" si="16"/>
        <v>1</v>
      </c>
      <c r="EK39" s="5">
        <f t="shared" si="17"/>
        <v>0</v>
      </c>
      <c r="EL39" s="5">
        <f t="shared" si="54"/>
        <v>0</v>
      </c>
      <c r="EM39" s="5">
        <f t="shared" si="18"/>
        <v>1</v>
      </c>
      <c r="EN39" s="5">
        <f t="shared" si="19"/>
        <v>1</v>
      </c>
      <c r="EO39" s="5">
        <f t="shared" si="20"/>
        <v>1</v>
      </c>
      <c r="EP39" s="5">
        <f t="shared" si="21"/>
        <v>0</v>
      </c>
      <c r="EQ39" s="5">
        <f t="shared" si="55"/>
        <v>1</v>
      </c>
      <c r="ER39" s="5">
        <f t="shared" si="22"/>
        <v>1</v>
      </c>
      <c r="ES39" s="5">
        <f t="shared" si="23"/>
        <v>1</v>
      </c>
      <c r="ET39" s="5">
        <f t="shared" si="24"/>
        <v>1</v>
      </c>
      <c r="EU39" s="5">
        <f t="shared" si="56"/>
        <v>0</v>
      </c>
      <c r="EV39" s="5">
        <f t="shared" si="57"/>
        <v>2</v>
      </c>
      <c r="EW39" s="5">
        <f t="shared" si="58"/>
        <v>0</v>
      </c>
      <c r="EX39" s="5">
        <f t="shared" si="25"/>
        <v>2</v>
      </c>
      <c r="EY39" s="5">
        <f t="shared" si="26"/>
        <v>0</v>
      </c>
      <c r="EZ39" s="5">
        <f t="shared" si="27"/>
        <v>0</v>
      </c>
      <c r="FA39" s="5">
        <f t="shared" si="28"/>
        <v>0</v>
      </c>
      <c r="FB39" s="5">
        <f t="shared" si="29"/>
        <v>0</v>
      </c>
      <c r="FC39" s="5">
        <f t="shared" si="30"/>
        <v>0</v>
      </c>
      <c r="FD39" s="5">
        <f t="shared" si="31"/>
        <v>0</v>
      </c>
      <c r="FE39" s="5">
        <f t="shared" si="32"/>
        <v>1</v>
      </c>
      <c r="FF39" s="5">
        <f t="shared" si="33"/>
        <v>1</v>
      </c>
      <c r="FG39" s="5">
        <f t="shared" si="34"/>
        <v>0</v>
      </c>
      <c r="FH39" s="5">
        <f t="shared" si="35"/>
        <v>0</v>
      </c>
      <c r="FI39" s="5">
        <f t="shared" si="36"/>
        <v>1</v>
      </c>
      <c r="FJ39" s="5">
        <f t="shared" si="59"/>
        <v>0</v>
      </c>
      <c r="FK39" s="5">
        <f t="shared" si="37"/>
        <v>0</v>
      </c>
      <c r="FL39" s="5">
        <f t="shared" si="38"/>
        <v>1</v>
      </c>
      <c r="FM39" s="5">
        <f t="shared" si="60"/>
        <v>1</v>
      </c>
      <c r="FN39" s="5">
        <f t="shared" si="39"/>
        <v>0</v>
      </c>
      <c r="FO39" s="5">
        <f t="shared" si="40"/>
        <v>1</v>
      </c>
    </row>
    <row r="40" spans="1:171" ht="25.5" customHeight="1">
      <c r="B40" s="95"/>
      <c r="C40" s="12" t="s">
        <v>172</v>
      </c>
      <c r="D40" s="30">
        <v>6</v>
      </c>
      <c r="E40" s="51" t="s">
        <v>137</v>
      </c>
      <c r="F40" s="51" t="s">
        <v>139</v>
      </c>
      <c r="G40" s="51"/>
      <c r="H40" s="51" t="s">
        <v>130</v>
      </c>
      <c r="I40" s="51" t="s">
        <v>103</v>
      </c>
      <c r="J40" s="51"/>
      <c r="K40" s="51" t="s">
        <v>134</v>
      </c>
      <c r="L40" s="51" t="s">
        <v>153</v>
      </c>
      <c r="M40" s="51"/>
      <c r="N40" s="42" t="s">
        <v>125</v>
      </c>
      <c r="O40" s="42" t="s">
        <v>81</v>
      </c>
      <c r="P40" s="42"/>
      <c r="Q40" s="42" t="s">
        <v>122</v>
      </c>
      <c r="R40" s="42" t="s">
        <v>99</v>
      </c>
      <c r="S40" s="42"/>
      <c r="T40" s="42" t="s">
        <v>127</v>
      </c>
      <c r="U40" s="42" t="s">
        <v>128</v>
      </c>
      <c r="V40" s="42"/>
      <c r="W40" s="42" t="s">
        <v>143</v>
      </c>
      <c r="X40" s="42" t="s">
        <v>73</v>
      </c>
      <c r="Y40" s="42" t="s">
        <v>53</v>
      </c>
      <c r="Z40" s="42" t="s">
        <v>132</v>
      </c>
      <c r="AA40" s="42" t="s">
        <v>72</v>
      </c>
      <c r="AB40" s="42"/>
      <c r="AC40" s="42" t="s">
        <v>159</v>
      </c>
      <c r="AD40" s="42" t="s">
        <v>68</v>
      </c>
      <c r="AE40" s="42"/>
      <c r="AF40" s="42" t="s">
        <v>124</v>
      </c>
      <c r="AG40" s="42" t="s">
        <v>129</v>
      </c>
      <c r="AH40" s="42"/>
      <c r="AI40" s="42" t="s">
        <v>124</v>
      </c>
      <c r="AJ40" s="42" t="s">
        <v>57</v>
      </c>
      <c r="AK40" s="42"/>
      <c r="AL40" s="42" t="s">
        <v>124</v>
      </c>
      <c r="AM40" s="42" t="s">
        <v>104</v>
      </c>
      <c r="AN40" s="42"/>
      <c r="AO40" s="42" t="s">
        <v>123</v>
      </c>
      <c r="AP40" s="42" t="s">
        <v>74</v>
      </c>
      <c r="AQ40" s="42"/>
      <c r="AR40" s="42" t="s">
        <v>126</v>
      </c>
      <c r="AS40" s="42" t="s">
        <v>108</v>
      </c>
      <c r="AT40" s="42"/>
      <c r="AU40" s="51" t="s">
        <v>160</v>
      </c>
      <c r="AV40" s="51" t="s">
        <v>161</v>
      </c>
      <c r="AW40" s="51"/>
      <c r="AX40" s="51" t="s">
        <v>160</v>
      </c>
      <c r="AY40" s="51" t="s">
        <v>147</v>
      </c>
      <c r="AZ40" s="51"/>
      <c r="BA40" s="42" t="s">
        <v>126</v>
      </c>
      <c r="BB40" s="42" t="s">
        <v>83</v>
      </c>
      <c r="BC40" s="42"/>
      <c r="BD40" s="51" t="s">
        <v>141</v>
      </c>
      <c r="BE40" s="51" t="s">
        <v>118</v>
      </c>
      <c r="BF40" s="51"/>
      <c r="BG40" s="51" t="s">
        <v>164</v>
      </c>
      <c r="BH40" s="51" t="s">
        <v>216</v>
      </c>
      <c r="BI40" s="51"/>
      <c r="BJ40" s="42" t="s">
        <v>124</v>
      </c>
      <c r="BK40" s="42" t="s">
        <v>58</v>
      </c>
      <c r="BL40" s="42"/>
      <c r="BM40" s="42" t="s">
        <v>126</v>
      </c>
      <c r="BN40" s="42" t="s">
        <v>84</v>
      </c>
      <c r="BO40" s="42"/>
      <c r="BP40" s="42" t="s">
        <v>130</v>
      </c>
      <c r="BQ40" s="42" t="s">
        <v>112</v>
      </c>
      <c r="BR40" s="42"/>
      <c r="BS40" s="42" t="s">
        <v>122</v>
      </c>
      <c r="BT40" s="42" t="s">
        <v>64</v>
      </c>
      <c r="BU40" s="42"/>
      <c r="BV40" s="42" t="s">
        <v>137</v>
      </c>
      <c r="BW40" s="42" t="s">
        <v>138</v>
      </c>
      <c r="BX40" s="42" t="s">
        <v>80</v>
      </c>
      <c r="BY40" s="68" t="s">
        <v>122</v>
      </c>
      <c r="BZ40" s="68" t="s">
        <v>71</v>
      </c>
      <c r="CA40" s="68"/>
      <c r="CB40" s="42" t="s">
        <v>130</v>
      </c>
      <c r="CC40" s="42" t="s">
        <v>133</v>
      </c>
      <c r="CD40" s="42" t="s">
        <v>114</v>
      </c>
      <c r="CE40" s="68" t="s">
        <v>134</v>
      </c>
      <c r="CF40" s="68" t="s">
        <v>166</v>
      </c>
      <c r="CG40" s="68" t="s">
        <v>136</v>
      </c>
      <c r="CH40" s="42" t="s">
        <v>211</v>
      </c>
      <c r="CI40" s="42" t="s">
        <v>56</v>
      </c>
      <c r="CJ40" s="42"/>
      <c r="CK40" s="50" t="s">
        <v>140</v>
      </c>
      <c r="CL40" s="50" t="s">
        <v>79</v>
      </c>
      <c r="CM40" s="50"/>
      <c r="CN40" s="42" t="s">
        <v>124</v>
      </c>
      <c r="CO40" s="42" t="s">
        <v>105</v>
      </c>
      <c r="CP40" s="42"/>
      <c r="CQ40" s="42" t="s">
        <v>192</v>
      </c>
      <c r="CR40" s="42" t="s">
        <v>63</v>
      </c>
      <c r="CS40" s="42"/>
      <c r="CT40" s="42" t="s">
        <v>217</v>
      </c>
      <c r="CU40" s="42" t="s">
        <v>87</v>
      </c>
      <c r="CV40" s="42" t="s">
        <v>59</v>
      </c>
      <c r="CW40" s="53" t="s">
        <v>168</v>
      </c>
      <c r="CX40" s="53" t="s">
        <v>119</v>
      </c>
      <c r="CY40" s="53"/>
      <c r="CZ40" s="50" t="s">
        <v>194</v>
      </c>
      <c r="DA40" s="50" t="s">
        <v>205</v>
      </c>
      <c r="DB40" s="50" t="s">
        <v>55</v>
      </c>
      <c r="DC40" s="50" t="s">
        <v>194</v>
      </c>
      <c r="DD40" s="50" t="s">
        <v>171</v>
      </c>
      <c r="DE40" s="50" t="s">
        <v>87</v>
      </c>
      <c r="DF40" s="42"/>
      <c r="DG40" s="42"/>
      <c r="DH40" s="42"/>
      <c r="DI40" s="65"/>
      <c r="DJ40" s="63"/>
      <c r="DK40" s="5">
        <f t="shared" si="41"/>
        <v>1</v>
      </c>
      <c r="DL40" s="5">
        <f t="shared" si="42"/>
        <v>0</v>
      </c>
      <c r="DM40" s="5">
        <f t="shared" si="43"/>
        <v>1</v>
      </c>
      <c r="DN40" s="5">
        <f t="shared" si="4"/>
        <v>1</v>
      </c>
      <c r="DO40" s="5">
        <f t="shared" si="44"/>
        <v>1</v>
      </c>
      <c r="DP40" s="5">
        <f t="shared" si="45"/>
        <v>1</v>
      </c>
      <c r="DQ40" s="5">
        <f t="shared" si="5"/>
        <v>1</v>
      </c>
      <c r="DR40" s="5">
        <f t="shared" si="6"/>
        <v>0</v>
      </c>
      <c r="DS40" s="5">
        <f t="shared" si="46"/>
        <v>0</v>
      </c>
      <c r="DT40" s="5">
        <f t="shared" si="7"/>
        <v>0</v>
      </c>
      <c r="DU40" s="5">
        <f t="shared" si="47"/>
        <v>1</v>
      </c>
      <c r="DV40" s="5">
        <f t="shared" si="8"/>
        <v>1</v>
      </c>
      <c r="DW40" s="5">
        <f t="shared" si="48"/>
        <v>0</v>
      </c>
      <c r="DX40" s="5">
        <f t="shared" si="9"/>
        <v>0</v>
      </c>
      <c r="DY40" s="5">
        <f t="shared" si="49"/>
        <v>0</v>
      </c>
      <c r="DZ40" s="5">
        <f t="shared" si="10"/>
        <v>1</v>
      </c>
      <c r="EA40" s="5">
        <f t="shared" si="50"/>
        <v>0</v>
      </c>
      <c r="EB40" s="5">
        <f t="shared" si="11"/>
        <v>0</v>
      </c>
      <c r="EC40" s="5">
        <f t="shared" si="12"/>
        <v>1</v>
      </c>
      <c r="ED40" s="5">
        <f t="shared" si="13"/>
        <v>1</v>
      </c>
      <c r="EE40" s="5">
        <f t="shared" si="51"/>
        <v>1</v>
      </c>
      <c r="EF40" s="5">
        <f t="shared" si="14"/>
        <v>1</v>
      </c>
      <c r="EG40" s="5">
        <f t="shared" si="15"/>
        <v>1</v>
      </c>
      <c r="EH40" s="5">
        <f t="shared" si="52"/>
        <v>0</v>
      </c>
      <c r="EI40" s="5">
        <f t="shared" si="53"/>
        <v>0</v>
      </c>
      <c r="EJ40" s="5">
        <f t="shared" si="16"/>
        <v>1</v>
      </c>
      <c r="EK40" s="5">
        <f t="shared" si="17"/>
        <v>0</v>
      </c>
      <c r="EL40" s="5">
        <f t="shared" si="54"/>
        <v>0</v>
      </c>
      <c r="EM40" s="5">
        <f t="shared" si="18"/>
        <v>1</v>
      </c>
      <c r="EN40" s="5">
        <f t="shared" si="19"/>
        <v>1</v>
      </c>
      <c r="EO40" s="5">
        <f t="shared" si="20"/>
        <v>1</v>
      </c>
      <c r="EP40" s="5">
        <f t="shared" si="21"/>
        <v>0</v>
      </c>
      <c r="EQ40" s="5">
        <f t="shared" si="55"/>
        <v>1</v>
      </c>
      <c r="ER40" s="5">
        <f t="shared" si="22"/>
        <v>1</v>
      </c>
      <c r="ES40" s="5">
        <f t="shared" si="23"/>
        <v>1</v>
      </c>
      <c r="ET40" s="5">
        <f t="shared" si="24"/>
        <v>1</v>
      </c>
      <c r="EU40" s="5">
        <f t="shared" si="56"/>
        <v>0</v>
      </c>
      <c r="EV40" s="5">
        <f t="shared" si="57"/>
        <v>0</v>
      </c>
      <c r="EW40" s="5">
        <f t="shared" si="58"/>
        <v>1</v>
      </c>
      <c r="EX40" s="5">
        <f t="shared" si="25"/>
        <v>2</v>
      </c>
      <c r="EY40" s="5">
        <f t="shared" si="26"/>
        <v>0</v>
      </c>
      <c r="EZ40" s="5">
        <f t="shared" si="27"/>
        <v>0</v>
      </c>
      <c r="FA40" s="5">
        <f t="shared" si="28"/>
        <v>0</v>
      </c>
      <c r="FB40" s="5">
        <f t="shared" si="29"/>
        <v>0</v>
      </c>
      <c r="FC40" s="5">
        <f t="shared" si="30"/>
        <v>0</v>
      </c>
      <c r="FD40" s="5">
        <f t="shared" si="31"/>
        <v>0</v>
      </c>
      <c r="FE40" s="5">
        <f t="shared" si="32"/>
        <v>0</v>
      </c>
      <c r="FF40" s="5">
        <f t="shared" si="33"/>
        <v>0</v>
      </c>
      <c r="FG40" s="5">
        <f t="shared" si="34"/>
        <v>1</v>
      </c>
      <c r="FH40" s="5">
        <f t="shared" si="35"/>
        <v>0</v>
      </c>
      <c r="FI40" s="5">
        <f t="shared" si="36"/>
        <v>1</v>
      </c>
      <c r="FJ40" s="5">
        <f t="shared" si="59"/>
        <v>0</v>
      </c>
      <c r="FK40" s="5">
        <f t="shared" si="37"/>
        <v>0</v>
      </c>
      <c r="FL40" s="5">
        <f t="shared" si="38"/>
        <v>0</v>
      </c>
      <c r="FM40" s="5">
        <f t="shared" si="60"/>
        <v>1</v>
      </c>
      <c r="FN40" s="5">
        <f t="shared" si="39"/>
        <v>0</v>
      </c>
      <c r="FO40" s="5">
        <f t="shared" si="40"/>
        <v>1</v>
      </c>
    </row>
    <row r="41" spans="1:171" ht="25.5" customHeight="1">
      <c r="B41" s="95"/>
      <c r="C41" s="12" t="s">
        <v>174</v>
      </c>
      <c r="D41" s="30">
        <v>7</v>
      </c>
      <c r="E41" s="42" t="s">
        <v>143</v>
      </c>
      <c r="F41" s="42" t="s">
        <v>75</v>
      </c>
      <c r="G41" s="42" t="s">
        <v>53</v>
      </c>
      <c r="H41" s="42" t="s">
        <v>122</v>
      </c>
      <c r="I41" s="42" t="s">
        <v>94</v>
      </c>
      <c r="J41" s="42"/>
      <c r="K41" s="42" t="s">
        <v>127</v>
      </c>
      <c r="L41" s="42" t="s">
        <v>128</v>
      </c>
      <c r="M41" s="42"/>
      <c r="N41" s="42" t="s">
        <v>122</v>
      </c>
      <c r="O41" s="42" t="s">
        <v>64</v>
      </c>
      <c r="P41" s="42"/>
      <c r="Q41" s="42" t="s">
        <v>126</v>
      </c>
      <c r="R41" s="42" t="s">
        <v>129</v>
      </c>
      <c r="S41" s="42"/>
      <c r="T41" s="42" t="s">
        <v>124</v>
      </c>
      <c r="U41" s="42" t="s">
        <v>105</v>
      </c>
      <c r="V41" s="42"/>
      <c r="W41" s="42" t="s">
        <v>124</v>
      </c>
      <c r="X41" s="42" t="s">
        <v>58</v>
      </c>
      <c r="Y41" s="42"/>
      <c r="Z41" s="42" t="s">
        <v>124</v>
      </c>
      <c r="AA41" s="42" t="s">
        <v>91</v>
      </c>
      <c r="AB41" s="42"/>
      <c r="AC41" s="42" t="s">
        <v>140</v>
      </c>
      <c r="AD41" s="42" t="s">
        <v>109</v>
      </c>
      <c r="AE41" s="42"/>
      <c r="AF41" s="42" t="s">
        <v>159</v>
      </c>
      <c r="AG41" s="42" t="s">
        <v>68</v>
      </c>
      <c r="AH41" s="42"/>
      <c r="AI41" s="51" t="s">
        <v>130</v>
      </c>
      <c r="AJ41" s="51" t="s">
        <v>116</v>
      </c>
      <c r="AK41" s="51"/>
      <c r="AL41" s="51" t="s">
        <v>130</v>
      </c>
      <c r="AM41" s="51" t="s">
        <v>103</v>
      </c>
      <c r="AN41" s="51"/>
      <c r="AO41" s="51" t="s">
        <v>130</v>
      </c>
      <c r="AP41" s="51" t="s">
        <v>150</v>
      </c>
      <c r="AQ41" s="51"/>
      <c r="AR41" s="51" t="s">
        <v>130</v>
      </c>
      <c r="AS41" s="51" t="s">
        <v>111</v>
      </c>
      <c r="AT41" s="51"/>
      <c r="AU41" s="51" t="s">
        <v>160</v>
      </c>
      <c r="AV41" s="51" t="s">
        <v>161</v>
      </c>
      <c r="AW41" s="51"/>
      <c r="AX41" s="51" t="s">
        <v>160</v>
      </c>
      <c r="AY41" s="51" t="s">
        <v>147</v>
      </c>
      <c r="AZ41" s="51"/>
      <c r="BA41" s="50" t="s">
        <v>123</v>
      </c>
      <c r="BB41" s="50" t="s">
        <v>74</v>
      </c>
      <c r="BC41" s="50" t="s">
        <v>218</v>
      </c>
      <c r="BD41" s="42" t="s">
        <v>211</v>
      </c>
      <c r="BE41" s="42" t="s">
        <v>56</v>
      </c>
      <c r="BF41" s="42"/>
      <c r="BG41" s="42" t="s">
        <v>126</v>
      </c>
      <c r="BH41" s="42" t="s">
        <v>66</v>
      </c>
      <c r="BI41" s="42"/>
      <c r="BJ41" s="42" t="s">
        <v>130</v>
      </c>
      <c r="BK41" s="42" t="s">
        <v>133</v>
      </c>
      <c r="BL41" s="42" t="s">
        <v>213</v>
      </c>
      <c r="BM41" s="42" t="s">
        <v>134</v>
      </c>
      <c r="BN41" s="42" t="s">
        <v>201</v>
      </c>
      <c r="BO41" s="42" t="s">
        <v>71</v>
      </c>
      <c r="BP41" s="68" t="s">
        <v>200</v>
      </c>
      <c r="BQ41" s="68" t="s">
        <v>146</v>
      </c>
      <c r="BR41" s="68"/>
      <c r="BS41" s="42" t="s">
        <v>130</v>
      </c>
      <c r="BT41" s="42" t="s">
        <v>118</v>
      </c>
      <c r="BU41" s="42"/>
      <c r="BV41" s="42" t="s">
        <v>200</v>
      </c>
      <c r="BW41" s="42" t="s">
        <v>166</v>
      </c>
      <c r="BX41" s="42"/>
      <c r="BY41" s="42" t="s">
        <v>137</v>
      </c>
      <c r="BZ41" s="42" t="s">
        <v>138</v>
      </c>
      <c r="CA41" s="42" t="s">
        <v>139</v>
      </c>
      <c r="CB41" s="42" t="s">
        <v>126</v>
      </c>
      <c r="CC41" s="42" t="s">
        <v>108</v>
      </c>
      <c r="CD41" s="42"/>
      <c r="CE41" s="68" t="s">
        <v>130</v>
      </c>
      <c r="CF41" s="68" t="s">
        <v>115</v>
      </c>
      <c r="CG41" s="68"/>
      <c r="CH41" s="50" t="s">
        <v>140</v>
      </c>
      <c r="CI41" s="50" t="s">
        <v>79</v>
      </c>
      <c r="CJ41" s="50"/>
      <c r="CK41" s="50" t="s">
        <v>182</v>
      </c>
      <c r="CL41" s="50" t="s">
        <v>93</v>
      </c>
      <c r="CM41" s="50"/>
      <c r="CN41" s="42" t="s">
        <v>126</v>
      </c>
      <c r="CO41" s="42" t="s">
        <v>83</v>
      </c>
      <c r="CP41" s="42"/>
      <c r="CQ41" s="50" t="s">
        <v>194</v>
      </c>
      <c r="CR41" s="50" t="s">
        <v>171</v>
      </c>
      <c r="CS41" s="50" t="s">
        <v>55</v>
      </c>
      <c r="CT41" s="50" t="s">
        <v>194</v>
      </c>
      <c r="CU41" s="50" t="s">
        <v>205</v>
      </c>
      <c r="CV41" s="50" t="s">
        <v>87</v>
      </c>
      <c r="CW41" s="50" t="s">
        <v>194</v>
      </c>
      <c r="CX41" s="50" t="s">
        <v>219</v>
      </c>
      <c r="CY41" s="50" t="s">
        <v>196</v>
      </c>
      <c r="CZ41" s="50" t="s">
        <v>220</v>
      </c>
      <c r="DA41" s="50" t="s">
        <v>87</v>
      </c>
      <c r="DB41" s="50" t="s">
        <v>90</v>
      </c>
      <c r="DC41" s="42" t="s">
        <v>126</v>
      </c>
      <c r="DD41" s="42" t="s">
        <v>59</v>
      </c>
      <c r="DE41" s="42"/>
      <c r="DF41" s="42"/>
      <c r="DG41" s="42"/>
      <c r="DH41" s="42" t="s">
        <v>60</v>
      </c>
      <c r="DI41" s="65"/>
      <c r="DJ41" s="63"/>
      <c r="DK41" s="5">
        <f t="shared" si="41"/>
        <v>1</v>
      </c>
      <c r="DL41" s="5">
        <f t="shared" si="42"/>
        <v>0</v>
      </c>
      <c r="DM41" s="5">
        <f t="shared" si="43"/>
        <v>1</v>
      </c>
      <c r="DN41" s="5">
        <f t="shared" si="4"/>
        <v>1</v>
      </c>
      <c r="DO41" s="5">
        <f t="shared" si="44"/>
        <v>0</v>
      </c>
      <c r="DP41" s="5">
        <f t="shared" si="45"/>
        <v>1</v>
      </c>
      <c r="DQ41" s="5">
        <f t="shared" si="5"/>
        <v>1</v>
      </c>
      <c r="DR41" s="5">
        <f t="shared" si="6"/>
        <v>1</v>
      </c>
      <c r="DS41" s="5">
        <f t="shared" si="46"/>
        <v>0</v>
      </c>
      <c r="DT41" s="5">
        <f t="shared" si="7"/>
        <v>0</v>
      </c>
      <c r="DU41" s="5">
        <f t="shared" si="47"/>
        <v>0</v>
      </c>
      <c r="DV41" s="5">
        <f t="shared" si="8"/>
        <v>1</v>
      </c>
      <c r="DW41" s="5">
        <f t="shared" si="48"/>
        <v>0</v>
      </c>
      <c r="DX41" s="5">
        <f t="shared" si="9"/>
        <v>1</v>
      </c>
      <c r="DY41" s="5">
        <f t="shared" si="49"/>
        <v>0</v>
      </c>
      <c r="DZ41" s="5">
        <f t="shared" si="10"/>
        <v>1</v>
      </c>
      <c r="EA41" s="5">
        <f t="shared" si="50"/>
        <v>0</v>
      </c>
      <c r="EB41" s="5">
        <f t="shared" si="11"/>
        <v>0</v>
      </c>
      <c r="EC41" s="5">
        <f t="shared" si="12"/>
        <v>1</v>
      </c>
      <c r="ED41" s="5">
        <f t="shared" si="13"/>
        <v>0</v>
      </c>
      <c r="EE41" s="5">
        <f t="shared" si="51"/>
        <v>0</v>
      </c>
      <c r="EF41" s="5">
        <f t="shared" si="14"/>
        <v>1</v>
      </c>
      <c r="EG41" s="5">
        <f t="shared" si="15"/>
        <v>1</v>
      </c>
      <c r="EH41" s="5">
        <f t="shared" si="52"/>
        <v>1</v>
      </c>
      <c r="EI41" s="5">
        <f t="shared" si="53"/>
        <v>0</v>
      </c>
      <c r="EJ41" s="5">
        <f t="shared" si="16"/>
        <v>0</v>
      </c>
      <c r="EK41" s="5">
        <f t="shared" si="17"/>
        <v>0</v>
      </c>
      <c r="EL41" s="5">
        <f t="shared" si="54"/>
        <v>0</v>
      </c>
      <c r="EM41" s="5">
        <f t="shared" si="18"/>
        <v>1</v>
      </c>
      <c r="EN41" s="5">
        <f t="shared" si="19"/>
        <v>0</v>
      </c>
      <c r="EO41" s="5">
        <f t="shared" si="20"/>
        <v>0</v>
      </c>
      <c r="EP41" s="5">
        <f t="shared" si="21"/>
        <v>0</v>
      </c>
      <c r="EQ41" s="5">
        <f t="shared" si="55"/>
        <v>1</v>
      </c>
      <c r="ER41" s="5">
        <f t="shared" si="22"/>
        <v>1</v>
      </c>
      <c r="ES41" s="5">
        <f t="shared" si="23"/>
        <v>0</v>
      </c>
      <c r="ET41" s="5">
        <f t="shared" si="24"/>
        <v>1</v>
      </c>
      <c r="EU41" s="5">
        <f t="shared" si="56"/>
        <v>1</v>
      </c>
      <c r="EV41" s="5">
        <f t="shared" si="57"/>
        <v>0</v>
      </c>
      <c r="EW41" s="5">
        <f t="shared" si="58"/>
        <v>0</v>
      </c>
      <c r="EX41" s="5">
        <f t="shared" si="25"/>
        <v>2</v>
      </c>
      <c r="EY41" s="5">
        <f t="shared" si="26"/>
        <v>0</v>
      </c>
      <c r="EZ41" s="5">
        <f t="shared" si="27"/>
        <v>0</v>
      </c>
      <c r="FA41" s="5">
        <f t="shared" si="28"/>
        <v>1</v>
      </c>
      <c r="FB41" s="5">
        <f t="shared" si="29"/>
        <v>1</v>
      </c>
      <c r="FC41" s="5">
        <f t="shared" si="30"/>
        <v>0</v>
      </c>
      <c r="FD41" s="5">
        <f t="shared" si="31"/>
        <v>1</v>
      </c>
      <c r="FE41" s="5">
        <f t="shared" si="32"/>
        <v>1</v>
      </c>
      <c r="FF41" s="5">
        <f t="shared" si="33"/>
        <v>0</v>
      </c>
      <c r="FG41" s="5">
        <f t="shared" si="34"/>
        <v>1</v>
      </c>
      <c r="FH41" s="5">
        <f t="shared" si="35"/>
        <v>0</v>
      </c>
      <c r="FI41" s="5">
        <f t="shared" si="36"/>
        <v>1</v>
      </c>
      <c r="FJ41" s="5">
        <f t="shared" si="59"/>
        <v>0</v>
      </c>
      <c r="FK41" s="5">
        <f t="shared" si="37"/>
        <v>1</v>
      </c>
      <c r="FL41" s="5">
        <f t="shared" si="38"/>
        <v>0</v>
      </c>
      <c r="FM41" s="5">
        <f t="shared" si="60"/>
        <v>1</v>
      </c>
      <c r="FN41" s="5">
        <f t="shared" si="39"/>
        <v>0</v>
      </c>
      <c r="FO41" s="5">
        <f t="shared" si="40"/>
        <v>0</v>
      </c>
    </row>
    <row r="42" spans="1:171" ht="25.5" customHeight="1">
      <c r="B42" s="95"/>
      <c r="C42" s="12" t="s">
        <v>177</v>
      </c>
      <c r="D42" s="30">
        <v>8</v>
      </c>
      <c r="E42" s="42" t="s">
        <v>143</v>
      </c>
      <c r="F42" s="42" t="s">
        <v>75</v>
      </c>
      <c r="G42" s="42" t="s">
        <v>53</v>
      </c>
      <c r="H42" s="42" t="s">
        <v>124</v>
      </c>
      <c r="I42" s="42" t="s">
        <v>104</v>
      </c>
      <c r="J42" s="42"/>
      <c r="K42" s="42" t="s">
        <v>127</v>
      </c>
      <c r="L42" s="42" t="s">
        <v>128</v>
      </c>
      <c r="M42" s="42"/>
      <c r="N42" s="42" t="s">
        <v>124</v>
      </c>
      <c r="O42" s="42" t="s">
        <v>105</v>
      </c>
      <c r="P42" s="42"/>
      <c r="Q42" s="42" t="s">
        <v>126</v>
      </c>
      <c r="R42" s="42" t="s">
        <v>129</v>
      </c>
      <c r="S42" s="42"/>
      <c r="T42" s="42" t="s">
        <v>126</v>
      </c>
      <c r="U42" s="42" t="s">
        <v>84</v>
      </c>
      <c r="V42" s="42"/>
      <c r="W42" s="42" t="s">
        <v>126</v>
      </c>
      <c r="X42" s="42" t="s">
        <v>106</v>
      </c>
      <c r="Y42" s="42"/>
      <c r="Z42" s="42" t="s">
        <v>124</v>
      </c>
      <c r="AA42" s="42" t="s">
        <v>91</v>
      </c>
      <c r="AB42" s="42"/>
      <c r="AC42" s="42" t="s">
        <v>122</v>
      </c>
      <c r="AD42" s="42" t="s">
        <v>99</v>
      </c>
      <c r="AE42" s="42"/>
      <c r="AF42" s="42" t="s">
        <v>122</v>
      </c>
      <c r="AG42" s="42" t="s">
        <v>95</v>
      </c>
      <c r="AH42" s="42"/>
      <c r="AI42" s="51" t="s">
        <v>130</v>
      </c>
      <c r="AJ42" s="51" t="s">
        <v>116</v>
      </c>
      <c r="AK42" s="51"/>
      <c r="AL42" s="51" t="s">
        <v>130</v>
      </c>
      <c r="AM42" s="51" t="s">
        <v>103</v>
      </c>
      <c r="AN42" s="51"/>
      <c r="AO42" s="51" t="s">
        <v>130</v>
      </c>
      <c r="AP42" s="51" t="s">
        <v>150</v>
      </c>
      <c r="AQ42" s="51"/>
      <c r="AR42" s="51" t="s">
        <v>130</v>
      </c>
      <c r="AS42" s="51" t="s">
        <v>111</v>
      </c>
      <c r="AT42" s="51"/>
      <c r="AU42" s="51" t="s">
        <v>160</v>
      </c>
      <c r="AV42" s="51" t="s">
        <v>161</v>
      </c>
      <c r="AW42" s="51"/>
      <c r="AX42" s="51" t="s">
        <v>160</v>
      </c>
      <c r="AY42" s="51" t="s">
        <v>147</v>
      </c>
      <c r="AZ42" s="51"/>
      <c r="BA42" s="50" t="s">
        <v>123</v>
      </c>
      <c r="BB42" s="50" t="s">
        <v>74</v>
      </c>
      <c r="BC42" s="50" t="s">
        <v>218</v>
      </c>
      <c r="BD42" s="42" t="s">
        <v>140</v>
      </c>
      <c r="BE42" s="42" t="s">
        <v>109</v>
      </c>
      <c r="BF42" s="42"/>
      <c r="BG42" s="42" t="s">
        <v>211</v>
      </c>
      <c r="BH42" s="42" t="s">
        <v>56</v>
      </c>
      <c r="BI42" s="42"/>
      <c r="BJ42" s="42" t="s">
        <v>130</v>
      </c>
      <c r="BK42" s="42" t="s">
        <v>133</v>
      </c>
      <c r="BL42" s="42" t="s">
        <v>213</v>
      </c>
      <c r="BM42" s="42" t="s">
        <v>134</v>
      </c>
      <c r="BN42" s="42" t="s">
        <v>201</v>
      </c>
      <c r="BO42" s="42" t="s">
        <v>71</v>
      </c>
      <c r="BP42" s="68" t="s">
        <v>200</v>
      </c>
      <c r="BQ42" s="68" t="s">
        <v>146</v>
      </c>
      <c r="BR42" s="68"/>
      <c r="BS42" s="42" t="s">
        <v>130</v>
      </c>
      <c r="BT42" s="42" t="s">
        <v>118</v>
      </c>
      <c r="BU42" s="42"/>
      <c r="BV42" s="42" t="s">
        <v>200</v>
      </c>
      <c r="BW42" s="42" t="s">
        <v>166</v>
      </c>
      <c r="BX42" s="42"/>
      <c r="BY42" s="42" t="s">
        <v>137</v>
      </c>
      <c r="BZ42" s="42" t="s">
        <v>138</v>
      </c>
      <c r="CA42" s="42" t="s">
        <v>139</v>
      </c>
      <c r="CB42" s="42" t="s">
        <v>126</v>
      </c>
      <c r="CC42" s="42" t="s">
        <v>108</v>
      </c>
      <c r="CD42" s="42"/>
      <c r="CE42" s="68" t="s">
        <v>130</v>
      </c>
      <c r="CF42" s="68" t="s">
        <v>115</v>
      </c>
      <c r="CG42" s="68"/>
      <c r="CH42" s="50" t="s">
        <v>140</v>
      </c>
      <c r="CI42" s="50" t="s">
        <v>79</v>
      </c>
      <c r="CJ42" s="50"/>
      <c r="CK42" s="50" t="s">
        <v>182</v>
      </c>
      <c r="CL42" s="50" t="s">
        <v>93</v>
      </c>
      <c r="CM42" s="50"/>
      <c r="CN42" s="42" t="s">
        <v>126</v>
      </c>
      <c r="CO42" s="42" t="s">
        <v>83</v>
      </c>
      <c r="CP42" s="42"/>
      <c r="CQ42" s="50" t="s">
        <v>194</v>
      </c>
      <c r="CR42" s="50" t="s">
        <v>171</v>
      </c>
      <c r="CS42" s="50" t="s">
        <v>55</v>
      </c>
      <c r="CT42" s="50" t="s">
        <v>194</v>
      </c>
      <c r="CU42" s="50" t="s">
        <v>205</v>
      </c>
      <c r="CV42" s="50" t="s">
        <v>87</v>
      </c>
      <c r="CW42" s="50" t="s">
        <v>194</v>
      </c>
      <c r="CX42" s="50" t="s">
        <v>219</v>
      </c>
      <c r="CY42" s="50" t="s">
        <v>196</v>
      </c>
      <c r="CZ42" s="42" t="s">
        <v>144</v>
      </c>
      <c r="DA42" s="42" t="s">
        <v>90</v>
      </c>
      <c r="DB42" s="42"/>
      <c r="DC42" s="50" t="s">
        <v>221</v>
      </c>
      <c r="DD42" s="50" t="s">
        <v>87</v>
      </c>
      <c r="DE42" s="50" t="s">
        <v>59</v>
      </c>
      <c r="DF42" s="42"/>
      <c r="DG42" s="42"/>
      <c r="DH42" s="42" t="s">
        <v>60</v>
      </c>
      <c r="DI42" s="65"/>
      <c r="DJ42" s="63"/>
      <c r="DK42" s="5">
        <f t="shared" si="41"/>
        <v>1</v>
      </c>
      <c r="DL42" s="5">
        <f t="shared" si="42"/>
        <v>0</v>
      </c>
      <c r="DM42" s="5">
        <f t="shared" si="43"/>
        <v>1</v>
      </c>
      <c r="DN42" s="5">
        <f t="shared" si="4"/>
        <v>1</v>
      </c>
      <c r="DO42" s="5">
        <f t="shared" si="44"/>
        <v>0</v>
      </c>
      <c r="DP42" s="5">
        <f t="shared" si="45"/>
        <v>0</v>
      </c>
      <c r="DQ42" s="5">
        <f t="shared" si="5"/>
        <v>1</v>
      </c>
      <c r="DR42" s="5">
        <f t="shared" si="6"/>
        <v>1</v>
      </c>
      <c r="DS42" s="5">
        <f t="shared" si="46"/>
        <v>0</v>
      </c>
      <c r="DT42" s="5">
        <f t="shared" si="7"/>
        <v>0</v>
      </c>
      <c r="DU42" s="5">
        <f t="shared" si="47"/>
        <v>0</v>
      </c>
      <c r="DV42" s="5">
        <f t="shared" si="8"/>
        <v>0</v>
      </c>
      <c r="DW42" s="5">
        <f t="shared" si="48"/>
        <v>0</v>
      </c>
      <c r="DX42" s="5">
        <f t="shared" si="9"/>
        <v>0</v>
      </c>
      <c r="DY42" s="5">
        <f t="shared" si="49"/>
        <v>0</v>
      </c>
      <c r="DZ42" s="5">
        <f t="shared" si="10"/>
        <v>0</v>
      </c>
      <c r="EA42" s="5">
        <f t="shared" si="50"/>
        <v>0</v>
      </c>
      <c r="EB42" s="5">
        <f t="shared" si="11"/>
        <v>0</v>
      </c>
      <c r="EC42" s="5">
        <f t="shared" si="12"/>
        <v>1</v>
      </c>
      <c r="ED42" s="5">
        <f t="shared" si="13"/>
        <v>0</v>
      </c>
      <c r="EE42" s="5">
        <f t="shared" si="51"/>
        <v>0</v>
      </c>
      <c r="EF42" s="5">
        <f t="shared" si="14"/>
        <v>1</v>
      </c>
      <c r="EG42" s="5">
        <f t="shared" si="15"/>
        <v>1</v>
      </c>
      <c r="EH42" s="5">
        <f t="shared" si="52"/>
        <v>1</v>
      </c>
      <c r="EI42" s="5">
        <f t="shared" si="53"/>
        <v>0</v>
      </c>
      <c r="EJ42" s="5">
        <f t="shared" si="16"/>
        <v>0</v>
      </c>
      <c r="EK42" s="5">
        <f t="shared" si="17"/>
        <v>0</v>
      </c>
      <c r="EL42" s="5">
        <f t="shared" si="54"/>
        <v>0</v>
      </c>
      <c r="EM42" s="5">
        <f t="shared" si="18"/>
        <v>1</v>
      </c>
      <c r="EN42" s="5">
        <f t="shared" si="19"/>
        <v>0</v>
      </c>
      <c r="EO42" s="5">
        <f t="shared" si="20"/>
        <v>0</v>
      </c>
      <c r="EP42" s="5">
        <f t="shared" si="21"/>
        <v>0</v>
      </c>
      <c r="EQ42" s="5">
        <f t="shared" si="55"/>
        <v>1</v>
      </c>
      <c r="ER42" s="5">
        <f t="shared" si="22"/>
        <v>1</v>
      </c>
      <c r="ES42" s="5">
        <f t="shared" si="23"/>
        <v>1</v>
      </c>
      <c r="ET42" s="5">
        <f t="shared" si="24"/>
        <v>1</v>
      </c>
      <c r="EU42" s="5">
        <f t="shared" si="56"/>
        <v>0</v>
      </c>
      <c r="EV42" s="5">
        <f t="shared" si="57"/>
        <v>0</v>
      </c>
      <c r="EW42" s="5">
        <f t="shared" si="58"/>
        <v>0</v>
      </c>
      <c r="EX42" s="5">
        <f t="shared" si="25"/>
        <v>2</v>
      </c>
      <c r="EY42" s="5">
        <f t="shared" si="26"/>
        <v>0</v>
      </c>
      <c r="EZ42" s="5">
        <f t="shared" si="27"/>
        <v>0</v>
      </c>
      <c r="FA42" s="5">
        <f t="shared" si="28"/>
        <v>1</v>
      </c>
      <c r="FB42" s="5">
        <f t="shared" si="29"/>
        <v>1</v>
      </c>
      <c r="FC42" s="5">
        <f t="shared" si="30"/>
        <v>0</v>
      </c>
      <c r="FD42" s="5">
        <f t="shared" si="31"/>
        <v>1</v>
      </c>
      <c r="FE42" s="5">
        <f t="shared" si="32"/>
        <v>0</v>
      </c>
      <c r="FF42" s="5">
        <f t="shared" si="33"/>
        <v>1</v>
      </c>
      <c r="FG42" s="5">
        <f t="shared" si="34"/>
        <v>1</v>
      </c>
      <c r="FH42" s="5">
        <f t="shared" si="35"/>
        <v>0</v>
      </c>
      <c r="FI42" s="5">
        <f t="shared" si="36"/>
        <v>1</v>
      </c>
      <c r="FJ42" s="5">
        <f t="shared" si="59"/>
        <v>0</v>
      </c>
      <c r="FK42" s="5">
        <f t="shared" si="37"/>
        <v>0</v>
      </c>
      <c r="FL42" s="5">
        <f t="shared" si="38"/>
        <v>0</v>
      </c>
      <c r="FM42" s="5">
        <f t="shared" si="60"/>
        <v>0</v>
      </c>
      <c r="FN42" s="5">
        <f t="shared" si="39"/>
        <v>0</v>
      </c>
      <c r="FO42" s="5">
        <f t="shared" si="40"/>
        <v>1</v>
      </c>
    </row>
    <row r="43" spans="1:171" s="8" customFormat="1" ht="25.5" customHeight="1">
      <c r="B43" s="22"/>
      <c r="C43" s="13"/>
      <c r="D43" s="31"/>
      <c r="E43" s="45"/>
      <c r="F43" s="45"/>
      <c r="G43" s="45"/>
      <c r="H43" s="45"/>
      <c r="I43" s="45"/>
      <c r="J43" s="45"/>
      <c r="K43" s="45"/>
      <c r="L43" s="45"/>
      <c r="M43" s="45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66"/>
      <c r="DJ43" s="64"/>
      <c r="DK43" s="5">
        <f t="shared" si="41"/>
        <v>0</v>
      </c>
      <c r="DL43" s="5">
        <f t="shared" si="42"/>
        <v>0</v>
      </c>
      <c r="DM43" s="5">
        <f t="shared" si="43"/>
        <v>0</v>
      </c>
      <c r="DN43" s="5">
        <f t="shared" si="4"/>
        <v>0</v>
      </c>
      <c r="DO43" s="5">
        <f t="shared" si="44"/>
        <v>0</v>
      </c>
      <c r="DP43" s="5">
        <f t="shared" si="45"/>
        <v>0</v>
      </c>
      <c r="DQ43" s="5">
        <f t="shared" si="5"/>
        <v>0</v>
      </c>
      <c r="DR43" s="5">
        <f t="shared" si="6"/>
        <v>0</v>
      </c>
      <c r="DS43" s="5">
        <f t="shared" si="46"/>
        <v>0</v>
      </c>
      <c r="DT43" s="5">
        <f t="shared" si="7"/>
        <v>0</v>
      </c>
      <c r="DU43" s="5">
        <f t="shared" si="47"/>
        <v>0</v>
      </c>
      <c r="DV43" s="5">
        <f t="shared" si="8"/>
        <v>0</v>
      </c>
      <c r="DW43" s="5">
        <f t="shared" si="48"/>
        <v>0</v>
      </c>
      <c r="DX43" s="5">
        <f t="shared" si="9"/>
        <v>0</v>
      </c>
      <c r="DY43" s="5">
        <f t="shared" si="49"/>
        <v>0</v>
      </c>
      <c r="DZ43" s="5">
        <f t="shared" si="10"/>
        <v>0</v>
      </c>
      <c r="EA43" s="5">
        <f t="shared" si="50"/>
        <v>0</v>
      </c>
      <c r="EB43" s="5">
        <f t="shared" si="11"/>
        <v>0</v>
      </c>
      <c r="EC43" s="5">
        <f t="shared" si="12"/>
        <v>0</v>
      </c>
      <c r="ED43" s="5">
        <f t="shared" si="13"/>
        <v>0</v>
      </c>
      <c r="EE43" s="5">
        <f t="shared" si="51"/>
        <v>0</v>
      </c>
      <c r="EF43" s="5">
        <f t="shared" si="14"/>
        <v>0</v>
      </c>
      <c r="EG43" s="5">
        <f t="shared" si="15"/>
        <v>0</v>
      </c>
      <c r="EH43" s="5">
        <f t="shared" si="52"/>
        <v>0</v>
      </c>
      <c r="EI43" s="5">
        <f t="shared" si="53"/>
        <v>0</v>
      </c>
      <c r="EJ43" s="5">
        <f t="shared" si="16"/>
        <v>0</v>
      </c>
      <c r="EK43" s="5">
        <f t="shared" si="17"/>
        <v>0</v>
      </c>
      <c r="EL43" s="5">
        <f t="shared" si="54"/>
        <v>0</v>
      </c>
      <c r="EM43" s="5">
        <f t="shared" si="18"/>
        <v>0</v>
      </c>
      <c r="EN43" s="5">
        <f t="shared" si="19"/>
        <v>0</v>
      </c>
      <c r="EO43" s="5">
        <f t="shared" si="20"/>
        <v>0</v>
      </c>
      <c r="EP43" s="5">
        <f t="shared" si="21"/>
        <v>0</v>
      </c>
      <c r="EQ43" s="5">
        <f t="shared" si="55"/>
        <v>0</v>
      </c>
      <c r="ER43" s="5">
        <f t="shared" si="22"/>
        <v>0</v>
      </c>
      <c r="ES43" s="5">
        <f t="shared" si="23"/>
        <v>0</v>
      </c>
      <c r="ET43" s="5">
        <f t="shared" si="24"/>
        <v>0</v>
      </c>
      <c r="EU43" s="5">
        <f t="shared" si="56"/>
        <v>0</v>
      </c>
      <c r="EV43" s="5">
        <f t="shared" si="57"/>
        <v>0</v>
      </c>
      <c r="EW43" s="5">
        <f t="shared" si="58"/>
        <v>0</v>
      </c>
      <c r="EX43" s="5">
        <f t="shared" si="25"/>
        <v>0</v>
      </c>
      <c r="EY43" s="5">
        <f t="shared" si="26"/>
        <v>0</v>
      </c>
      <c r="EZ43" s="5">
        <f t="shared" si="27"/>
        <v>0</v>
      </c>
      <c r="FA43" s="5">
        <f t="shared" si="28"/>
        <v>0</v>
      </c>
      <c r="FB43" s="5">
        <f t="shared" si="29"/>
        <v>0</v>
      </c>
      <c r="FC43" s="5">
        <f t="shared" si="30"/>
        <v>0</v>
      </c>
      <c r="FD43" s="5">
        <f t="shared" si="31"/>
        <v>0</v>
      </c>
      <c r="FE43" s="5">
        <f t="shared" si="32"/>
        <v>0</v>
      </c>
      <c r="FF43" s="5">
        <f t="shared" si="33"/>
        <v>0</v>
      </c>
      <c r="FG43" s="5">
        <f t="shared" si="34"/>
        <v>0</v>
      </c>
      <c r="FH43" s="5">
        <f t="shared" si="35"/>
        <v>0</v>
      </c>
      <c r="FI43" s="5">
        <f t="shared" si="36"/>
        <v>0</v>
      </c>
      <c r="FJ43" s="5">
        <f t="shared" si="59"/>
        <v>0</v>
      </c>
      <c r="FK43" s="5">
        <f t="shared" si="37"/>
        <v>0</v>
      </c>
      <c r="FL43" s="5">
        <f t="shared" si="38"/>
        <v>0</v>
      </c>
      <c r="FM43" s="5">
        <f t="shared" si="60"/>
        <v>0</v>
      </c>
      <c r="FN43" s="5">
        <f t="shared" si="39"/>
        <v>0</v>
      </c>
      <c r="FO43" s="5">
        <f t="shared" si="40"/>
        <v>0</v>
      </c>
    </row>
    <row r="44" spans="1:171" ht="25.5" customHeight="1">
      <c r="B44" s="95" t="s">
        <v>222</v>
      </c>
      <c r="C44" s="12" t="s">
        <v>101</v>
      </c>
      <c r="D44" s="30">
        <v>1</v>
      </c>
      <c r="E44" s="51" t="s">
        <v>130</v>
      </c>
      <c r="F44" s="51" t="s">
        <v>153</v>
      </c>
      <c r="G44" s="51"/>
      <c r="H44" s="51" t="s">
        <v>137</v>
      </c>
      <c r="I44" s="51" t="s">
        <v>139</v>
      </c>
      <c r="J44" s="51"/>
      <c r="K44" s="51" t="s">
        <v>130</v>
      </c>
      <c r="L44" s="51" t="s">
        <v>162</v>
      </c>
      <c r="M44" s="55"/>
      <c r="N44" s="58" t="s">
        <v>130</v>
      </c>
      <c r="O44" s="58" t="s">
        <v>113</v>
      </c>
      <c r="P44" s="58"/>
      <c r="Q44" s="58" t="s">
        <v>130</v>
      </c>
      <c r="R44" s="58" t="s">
        <v>115</v>
      </c>
      <c r="S44" s="58"/>
      <c r="T44" s="58" t="s">
        <v>130</v>
      </c>
      <c r="U44" s="58" t="s">
        <v>103</v>
      </c>
      <c r="V44" s="58"/>
      <c r="W44" s="58" t="s">
        <v>130</v>
      </c>
      <c r="X44" s="58" t="s">
        <v>107</v>
      </c>
      <c r="Y44" s="58"/>
      <c r="Z44" s="59" t="s">
        <v>143</v>
      </c>
      <c r="AA44" s="42" t="s">
        <v>73</v>
      </c>
      <c r="AB44" s="42" t="s">
        <v>53</v>
      </c>
      <c r="AC44" s="42" t="s">
        <v>124</v>
      </c>
      <c r="AD44" s="42" t="s">
        <v>91</v>
      </c>
      <c r="AE44" s="42"/>
      <c r="AF44" s="42" t="s">
        <v>122</v>
      </c>
      <c r="AG44" s="42" t="s">
        <v>70</v>
      </c>
      <c r="AH44" s="42"/>
      <c r="AI44" s="42" t="s">
        <v>126</v>
      </c>
      <c r="AJ44" s="42" t="s">
        <v>108</v>
      </c>
      <c r="AK44" s="42"/>
      <c r="AL44" s="42" t="s">
        <v>178</v>
      </c>
      <c r="AM44" s="42" t="s">
        <v>66</v>
      </c>
      <c r="AN44" s="42" t="s">
        <v>60</v>
      </c>
      <c r="AO44" s="42" t="s">
        <v>126</v>
      </c>
      <c r="AP44" s="42" t="s">
        <v>84</v>
      </c>
      <c r="AQ44" s="42"/>
      <c r="AR44" s="42" t="s">
        <v>125</v>
      </c>
      <c r="AS44" s="42" t="s">
        <v>62</v>
      </c>
      <c r="AT44" s="42"/>
      <c r="AU44" s="42" t="s">
        <v>126</v>
      </c>
      <c r="AV44" s="42" t="s">
        <v>83</v>
      </c>
      <c r="AW44" s="42"/>
      <c r="AX44" s="42" t="s">
        <v>124</v>
      </c>
      <c r="AY44" s="42" t="s">
        <v>97</v>
      </c>
      <c r="AZ44" s="42"/>
      <c r="BA44" s="51" t="s">
        <v>130</v>
      </c>
      <c r="BB44" s="51" t="s">
        <v>116</v>
      </c>
      <c r="BC44" s="51"/>
      <c r="BD44" s="51" t="s">
        <v>160</v>
      </c>
      <c r="BE44" s="51" t="s">
        <v>149</v>
      </c>
      <c r="BF44" s="51"/>
      <c r="BG44" s="51" t="s">
        <v>160</v>
      </c>
      <c r="BH44" s="51" t="s">
        <v>161</v>
      </c>
      <c r="BI44" s="51"/>
      <c r="BJ44" s="54" t="s">
        <v>210</v>
      </c>
      <c r="BK44" s="54" t="s">
        <v>58</v>
      </c>
      <c r="BL44" s="54" t="s">
        <v>87</v>
      </c>
      <c r="BM44" s="42" t="s">
        <v>123</v>
      </c>
      <c r="BN44" s="42" t="s">
        <v>193</v>
      </c>
      <c r="BO44" s="42"/>
      <c r="BP44" s="68" t="s">
        <v>130</v>
      </c>
      <c r="BQ44" s="68" t="s">
        <v>135</v>
      </c>
      <c r="BR44" s="68" t="s">
        <v>112</v>
      </c>
      <c r="BS44" s="68" t="s">
        <v>159</v>
      </c>
      <c r="BT44" s="68" t="s">
        <v>68</v>
      </c>
      <c r="BU44" s="68"/>
      <c r="BV44" s="69" t="s">
        <v>124</v>
      </c>
      <c r="BW44" s="69" t="s">
        <v>67</v>
      </c>
      <c r="BX44" s="54"/>
      <c r="BY44" s="68" t="s">
        <v>134</v>
      </c>
      <c r="BZ44" s="68" t="s">
        <v>136</v>
      </c>
      <c r="CA44" s="68"/>
      <c r="CB44" s="69" t="s">
        <v>200</v>
      </c>
      <c r="CC44" s="69" t="s">
        <v>166</v>
      </c>
      <c r="CD44" s="69"/>
      <c r="CE44" s="42" t="s">
        <v>178</v>
      </c>
      <c r="CF44" s="68" t="s">
        <v>66</v>
      </c>
      <c r="CG44" s="42" t="s">
        <v>60</v>
      </c>
      <c r="CH44" s="42" t="s">
        <v>125</v>
      </c>
      <c r="CI44" s="42" t="s">
        <v>77</v>
      </c>
      <c r="CJ44" s="42"/>
      <c r="CK44" s="42" t="s">
        <v>126</v>
      </c>
      <c r="CL44" s="42" t="s">
        <v>106</v>
      </c>
      <c r="CM44" s="42"/>
      <c r="CN44" s="42" t="s">
        <v>140</v>
      </c>
      <c r="CO44" s="42" t="s">
        <v>109</v>
      </c>
      <c r="CP44" s="42"/>
      <c r="CQ44" s="50" t="s">
        <v>127</v>
      </c>
      <c r="CR44" s="50" t="s">
        <v>223</v>
      </c>
      <c r="CS44" s="50"/>
      <c r="CT44" s="42" t="s">
        <v>122</v>
      </c>
      <c r="CU44" s="42" t="s">
        <v>99</v>
      </c>
      <c r="CV44" s="42"/>
      <c r="CW44" s="53" t="s">
        <v>168</v>
      </c>
      <c r="CX44" s="53" t="s">
        <v>119</v>
      </c>
      <c r="CY44" s="53"/>
      <c r="CZ44" s="42" t="s">
        <v>159</v>
      </c>
      <c r="DA44" s="42" t="s">
        <v>205</v>
      </c>
      <c r="DB44" s="42"/>
      <c r="DC44" s="42" t="s">
        <v>126</v>
      </c>
      <c r="DD44" s="42" t="s">
        <v>59</v>
      </c>
      <c r="DE44" s="42"/>
      <c r="DF44" s="42"/>
      <c r="DG44" s="42" t="s">
        <v>63</v>
      </c>
      <c r="DH44" s="42" t="s">
        <v>184</v>
      </c>
      <c r="DI44" s="65"/>
      <c r="DJ44" s="63"/>
      <c r="DK44" s="5">
        <f t="shared" si="41"/>
        <v>1</v>
      </c>
      <c r="DL44" s="5">
        <f t="shared" si="42"/>
        <v>0</v>
      </c>
      <c r="DM44" s="5">
        <f t="shared" si="43"/>
        <v>0</v>
      </c>
      <c r="DN44" s="5">
        <f t="shared" si="4"/>
        <v>0</v>
      </c>
      <c r="DO44" s="5">
        <f t="shared" si="44"/>
        <v>0</v>
      </c>
      <c r="DP44" s="5">
        <f t="shared" si="45"/>
        <v>1</v>
      </c>
      <c r="DQ44" s="5">
        <f t="shared" si="5"/>
        <v>1</v>
      </c>
      <c r="DR44" s="5">
        <f t="shared" si="6"/>
        <v>2</v>
      </c>
      <c r="DS44" s="5">
        <f t="shared" si="46"/>
        <v>0</v>
      </c>
      <c r="DT44" s="5">
        <f t="shared" si="7"/>
        <v>1</v>
      </c>
      <c r="DU44" s="5">
        <f t="shared" si="47"/>
        <v>1</v>
      </c>
      <c r="DV44" s="5">
        <f t="shared" si="8"/>
        <v>0</v>
      </c>
      <c r="DW44" s="5">
        <f t="shared" si="48"/>
        <v>0</v>
      </c>
      <c r="DX44" s="5">
        <f t="shared" si="9"/>
        <v>2</v>
      </c>
      <c r="DY44" s="5">
        <f t="shared" si="49"/>
        <v>1</v>
      </c>
      <c r="DZ44" s="5">
        <f t="shared" si="10"/>
        <v>1</v>
      </c>
      <c r="EA44" s="5">
        <f t="shared" si="50"/>
        <v>0</v>
      </c>
      <c r="EB44" s="5">
        <f t="shared" si="11"/>
        <v>1</v>
      </c>
      <c r="EC44" s="5">
        <f t="shared" si="12"/>
        <v>0</v>
      </c>
      <c r="ED44" s="5">
        <f t="shared" si="13"/>
        <v>0</v>
      </c>
      <c r="EE44" s="5">
        <f t="shared" si="51"/>
        <v>1</v>
      </c>
      <c r="EF44" s="5">
        <f t="shared" si="14"/>
        <v>1</v>
      </c>
      <c r="EG44" s="5">
        <f t="shared" si="15"/>
        <v>0</v>
      </c>
      <c r="EH44" s="5">
        <f t="shared" si="52"/>
        <v>0</v>
      </c>
      <c r="EI44" s="5">
        <f t="shared" si="53"/>
        <v>0</v>
      </c>
      <c r="EJ44" s="5">
        <f t="shared" si="16"/>
        <v>1</v>
      </c>
      <c r="EK44" s="5">
        <f t="shared" si="17"/>
        <v>1</v>
      </c>
      <c r="EL44" s="5">
        <f t="shared" si="54"/>
        <v>0</v>
      </c>
      <c r="EM44" s="5">
        <f t="shared" si="18"/>
        <v>0</v>
      </c>
      <c r="EN44" s="5">
        <f t="shared" si="19"/>
        <v>0</v>
      </c>
      <c r="EO44" s="5">
        <f t="shared" si="20"/>
        <v>0</v>
      </c>
      <c r="EP44" s="5">
        <f t="shared" si="21"/>
        <v>1</v>
      </c>
      <c r="EQ44" s="5">
        <f t="shared" si="55"/>
        <v>0</v>
      </c>
      <c r="ER44" s="5">
        <f t="shared" si="22"/>
        <v>1</v>
      </c>
      <c r="ES44" s="5">
        <f t="shared" si="23"/>
        <v>1</v>
      </c>
      <c r="ET44" s="5">
        <f t="shared" si="24"/>
        <v>1</v>
      </c>
      <c r="EU44" s="5">
        <f t="shared" si="56"/>
        <v>2</v>
      </c>
      <c r="EV44" s="5">
        <f t="shared" si="57"/>
        <v>0</v>
      </c>
      <c r="EW44" s="5">
        <f t="shared" si="58"/>
        <v>0</v>
      </c>
      <c r="EX44" s="5">
        <f t="shared" si="25"/>
        <v>1</v>
      </c>
      <c r="EY44" s="5">
        <f t="shared" si="26"/>
        <v>0</v>
      </c>
      <c r="EZ44" s="5">
        <f t="shared" si="27"/>
        <v>0</v>
      </c>
      <c r="FA44" s="5">
        <f t="shared" si="28"/>
        <v>0</v>
      </c>
      <c r="FB44" s="5">
        <f t="shared" si="29"/>
        <v>1</v>
      </c>
      <c r="FC44" s="5">
        <f t="shared" si="30"/>
        <v>0</v>
      </c>
      <c r="FD44" s="5">
        <f t="shared" si="31"/>
        <v>0</v>
      </c>
      <c r="FE44" s="5">
        <f t="shared" si="32"/>
        <v>0</v>
      </c>
      <c r="FF44" s="5">
        <f t="shared" si="33"/>
        <v>0</v>
      </c>
      <c r="FG44" s="5">
        <f t="shared" si="34"/>
        <v>0</v>
      </c>
      <c r="FH44" s="5">
        <f t="shared" si="35"/>
        <v>0</v>
      </c>
      <c r="FI44" s="5">
        <f t="shared" si="36"/>
        <v>0</v>
      </c>
      <c r="FJ44" s="5">
        <f t="shared" si="59"/>
        <v>0</v>
      </c>
      <c r="FK44" s="5">
        <f t="shared" si="37"/>
        <v>2</v>
      </c>
      <c r="FL44" s="5">
        <f t="shared" si="38"/>
        <v>1</v>
      </c>
      <c r="FM44" s="5">
        <f t="shared" si="60"/>
        <v>1</v>
      </c>
      <c r="FN44" s="5">
        <f t="shared" si="39"/>
        <v>0</v>
      </c>
      <c r="FO44" s="5">
        <f t="shared" si="40"/>
        <v>1</v>
      </c>
    </row>
    <row r="45" spans="1:171" ht="25.5" customHeight="1">
      <c r="B45" s="95"/>
      <c r="C45" s="12" t="s">
        <v>121</v>
      </c>
      <c r="D45" s="30">
        <v>2</v>
      </c>
      <c r="E45" s="51" t="s">
        <v>130</v>
      </c>
      <c r="F45" s="51" t="s">
        <v>153</v>
      </c>
      <c r="G45" s="51"/>
      <c r="H45" s="51" t="s">
        <v>137</v>
      </c>
      <c r="I45" s="51" t="s">
        <v>139</v>
      </c>
      <c r="J45" s="51"/>
      <c r="K45" s="51" t="s">
        <v>130</v>
      </c>
      <c r="L45" s="51" t="s">
        <v>162</v>
      </c>
      <c r="M45" s="55"/>
      <c r="N45" s="58" t="s">
        <v>130</v>
      </c>
      <c r="O45" s="58" t="s">
        <v>113</v>
      </c>
      <c r="P45" s="58"/>
      <c r="Q45" s="58" t="s">
        <v>130</v>
      </c>
      <c r="R45" s="58" t="s">
        <v>115</v>
      </c>
      <c r="S45" s="58"/>
      <c r="T45" s="58" t="s">
        <v>130</v>
      </c>
      <c r="U45" s="58" t="s">
        <v>103</v>
      </c>
      <c r="V45" s="58"/>
      <c r="W45" s="58" t="s">
        <v>130</v>
      </c>
      <c r="X45" s="58" t="s">
        <v>107</v>
      </c>
      <c r="Y45" s="58"/>
      <c r="Z45" s="59" t="s">
        <v>143</v>
      </c>
      <c r="AA45" s="42" t="s">
        <v>73</v>
      </c>
      <c r="AB45" s="42" t="s">
        <v>53</v>
      </c>
      <c r="AC45" s="42" t="s">
        <v>210</v>
      </c>
      <c r="AD45" s="42" t="s">
        <v>91</v>
      </c>
      <c r="AE45" s="42" t="s">
        <v>87</v>
      </c>
      <c r="AF45" s="42" t="s">
        <v>122</v>
      </c>
      <c r="AG45" s="42" t="s">
        <v>70</v>
      </c>
      <c r="AH45" s="42"/>
      <c r="AI45" s="42" t="s">
        <v>126</v>
      </c>
      <c r="AJ45" s="42" t="s">
        <v>108</v>
      </c>
      <c r="AK45" s="42"/>
      <c r="AL45" s="42" t="s">
        <v>122</v>
      </c>
      <c r="AM45" s="42" t="s">
        <v>64</v>
      </c>
      <c r="AN45" s="42"/>
      <c r="AO45" s="42" t="s">
        <v>126</v>
      </c>
      <c r="AP45" s="42" t="s">
        <v>84</v>
      </c>
      <c r="AQ45" s="42"/>
      <c r="AR45" s="42" t="s">
        <v>125</v>
      </c>
      <c r="AS45" s="42" t="s">
        <v>62</v>
      </c>
      <c r="AT45" s="42"/>
      <c r="AU45" s="42" t="s">
        <v>126</v>
      </c>
      <c r="AV45" s="42" t="s">
        <v>83</v>
      </c>
      <c r="AW45" s="42"/>
      <c r="AX45" s="42" t="s">
        <v>124</v>
      </c>
      <c r="AY45" s="42" t="s">
        <v>97</v>
      </c>
      <c r="AZ45" s="42"/>
      <c r="BA45" s="51" t="s">
        <v>130</v>
      </c>
      <c r="BB45" s="51" t="s">
        <v>116</v>
      </c>
      <c r="BC45" s="51"/>
      <c r="BD45" s="51" t="s">
        <v>160</v>
      </c>
      <c r="BE45" s="51" t="s">
        <v>149</v>
      </c>
      <c r="BF45" s="51"/>
      <c r="BG45" s="51" t="s">
        <v>160</v>
      </c>
      <c r="BH45" s="51" t="s">
        <v>161</v>
      </c>
      <c r="BI45" s="51"/>
      <c r="BJ45" s="69" t="s">
        <v>159</v>
      </c>
      <c r="BK45" s="69" t="s">
        <v>68</v>
      </c>
      <c r="BL45" s="69"/>
      <c r="BM45" s="42" t="s">
        <v>210</v>
      </c>
      <c r="BN45" s="42" t="s">
        <v>165</v>
      </c>
      <c r="BO45" s="42" t="s">
        <v>87</v>
      </c>
      <c r="BP45" s="68" t="s">
        <v>130</v>
      </c>
      <c r="BQ45" s="68" t="s">
        <v>135</v>
      </c>
      <c r="BR45" s="68" t="s">
        <v>112</v>
      </c>
      <c r="BS45" s="68" t="s">
        <v>134</v>
      </c>
      <c r="BT45" s="68" t="s">
        <v>71</v>
      </c>
      <c r="BU45" s="68"/>
      <c r="BV45" s="69" t="s">
        <v>124</v>
      </c>
      <c r="BW45" s="69" t="s">
        <v>67</v>
      </c>
      <c r="BX45" s="54"/>
      <c r="BY45" s="68" t="s">
        <v>122</v>
      </c>
      <c r="BZ45" s="68" t="s">
        <v>94</v>
      </c>
      <c r="CA45" s="68"/>
      <c r="CB45" s="69" t="s">
        <v>200</v>
      </c>
      <c r="CC45" s="69" t="s">
        <v>166</v>
      </c>
      <c r="CD45" s="69"/>
      <c r="CE45" s="42" t="s">
        <v>126</v>
      </c>
      <c r="CF45" s="42" t="s">
        <v>66</v>
      </c>
      <c r="CG45" s="42"/>
      <c r="CH45" s="42" t="s">
        <v>125</v>
      </c>
      <c r="CI45" s="42" t="s">
        <v>77</v>
      </c>
      <c r="CJ45" s="42"/>
      <c r="CK45" s="42" t="s">
        <v>126</v>
      </c>
      <c r="CL45" s="42" t="s">
        <v>106</v>
      </c>
      <c r="CM45" s="42"/>
      <c r="CN45" s="42" t="s">
        <v>140</v>
      </c>
      <c r="CO45" s="42" t="s">
        <v>109</v>
      </c>
      <c r="CP45" s="42"/>
      <c r="CQ45" s="50" t="s">
        <v>127</v>
      </c>
      <c r="CR45" s="50" t="s">
        <v>223</v>
      </c>
      <c r="CS45" s="50"/>
      <c r="CT45" s="42" t="s">
        <v>122</v>
      </c>
      <c r="CU45" s="42" t="s">
        <v>99</v>
      </c>
      <c r="CV45" s="42"/>
      <c r="CW45" s="53" t="s">
        <v>168</v>
      </c>
      <c r="CX45" s="53" t="s">
        <v>119</v>
      </c>
      <c r="CY45" s="53"/>
      <c r="CZ45" s="42" t="s">
        <v>144</v>
      </c>
      <c r="DA45" s="42" t="s">
        <v>90</v>
      </c>
      <c r="DB45" s="42"/>
      <c r="DC45" s="42" t="s">
        <v>126</v>
      </c>
      <c r="DD45" s="42" t="s">
        <v>59</v>
      </c>
      <c r="DE45" s="42"/>
      <c r="DF45" s="42"/>
      <c r="DG45" s="42" t="s">
        <v>63</v>
      </c>
      <c r="DH45" s="42" t="s">
        <v>184</v>
      </c>
      <c r="DI45" s="65"/>
      <c r="DJ45" s="63"/>
      <c r="DK45" s="5">
        <f t="shared" si="41"/>
        <v>1</v>
      </c>
      <c r="DL45" s="5">
        <f t="shared" si="42"/>
        <v>0</v>
      </c>
      <c r="DM45" s="5">
        <f t="shared" si="43"/>
        <v>0</v>
      </c>
      <c r="DN45" s="5">
        <f t="shared" si="4"/>
        <v>0</v>
      </c>
      <c r="DO45" s="5">
        <f t="shared" si="44"/>
        <v>0</v>
      </c>
      <c r="DP45" s="5">
        <f t="shared" si="45"/>
        <v>0</v>
      </c>
      <c r="DQ45" s="5">
        <f t="shared" si="5"/>
        <v>1</v>
      </c>
      <c r="DR45" s="5">
        <f t="shared" si="6"/>
        <v>0</v>
      </c>
      <c r="DS45" s="5">
        <f t="shared" si="46"/>
        <v>0</v>
      </c>
      <c r="DT45" s="5">
        <f t="shared" si="7"/>
        <v>1</v>
      </c>
      <c r="DU45" s="5">
        <f t="shared" si="47"/>
        <v>1</v>
      </c>
      <c r="DV45" s="5">
        <f t="shared" si="8"/>
        <v>1</v>
      </c>
      <c r="DW45" s="5">
        <f t="shared" si="48"/>
        <v>0</v>
      </c>
      <c r="DX45" s="5">
        <f t="shared" si="9"/>
        <v>1</v>
      </c>
      <c r="DY45" s="5">
        <f t="shared" si="49"/>
        <v>1</v>
      </c>
      <c r="DZ45" s="5">
        <f t="shared" si="10"/>
        <v>1</v>
      </c>
      <c r="EA45" s="5">
        <f t="shared" si="50"/>
        <v>0</v>
      </c>
      <c r="EB45" s="5">
        <f t="shared" si="11"/>
        <v>1</v>
      </c>
      <c r="EC45" s="5">
        <f t="shared" si="12"/>
        <v>1</v>
      </c>
      <c r="ED45" s="5">
        <f t="shared" si="13"/>
        <v>0</v>
      </c>
      <c r="EE45" s="5">
        <f t="shared" si="51"/>
        <v>1</v>
      </c>
      <c r="EF45" s="5">
        <f t="shared" si="14"/>
        <v>1</v>
      </c>
      <c r="EG45" s="5">
        <f t="shared" si="15"/>
        <v>0</v>
      </c>
      <c r="EH45" s="5">
        <f t="shared" si="52"/>
        <v>0</v>
      </c>
      <c r="EI45" s="5">
        <f t="shared" si="53"/>
        <v>0</v>
      </c>
      <c r="EJ45" s="5">
        <f t="shared" si="16"/>
        <v>1</v>
      </c>
      <c r="EK45" s="5">
        <f t="shared" si="17"/>
        <v>1</v>
      </c>
      <c r="EL45" s="5">
        <f t="shared" si="54"/>
        <v>0</v>
      </c>
      <c r="EM45" s="5">
        <f t="shared" si="18"/>
        <v>0</v>
      </c>
      <c r="EN45" s="5">
        <f t="shared" si="19"/>
        <v>0</v>
      </c>
      <c r="EO45" s="5">
        <f t="shared" si="20"/>
        <v>0</v>
      </c>
      <c r="EP45" s="5">
        <f t="shared" si="21"/>
        <v>1</v>
      </c>
      <c r="EQ45" s="5">
        <f t="shared" si="55"/>
        <v>0</v>
      </c>
      <c r="ER45" s="5">
        <f t="shared" si="22"/>
        <v>1</v>
      </c>
      <c r="ES45" s="5">
        <f t="shared" si="23"/>
        <v>1</v>
      </c>
      <c r="ET45" s="5">
        <f t="shared" si="24"/>
        <v>1</v>
      </c>
      <c r="EU45" s="5">
        <f t="shared" si="56"/>
        <v>1</v>
      </c>
      <c r="EV45" s="5">
        <f t="shared" si="57"/>
        <v>0</v>
      </c>
      <c r="EW45" s="5">
        <f t="shared" si="58"/>
        <v>0</v>
      </c>
      <c r="EX45" s="5">
        <f t="shared" si="25"/>
        <v>2</v>
      </c>
      <c r="EY45" s="5">
        <f t="shared" si="26"/>
        <v>0</v>
      </c>
      <c r="EZ45" s="5">
        <f t="shared" si="27"/>
        <v>0</v>
      </c>
      <c r="FA45" s="5">
        <f t="shared" si="28"/>
        <v>1</v>
      </c>
      <c r="FB45" s="5">
        <f t="shared" si="29"/>
        <v>1</v>
      </c>
      <c r="FC45" s="5">
        <f t="shared" si="30"/>
        <v>0</v>
      </c>
      <c r="FD45" s="5">
        <f t="shared" si="31"/>
        <v>0</v>
      </c>
      <c r="FE45" s="5">
        <f t="shared" si="32"/>
        <v>1</v>
      </c>
      <c r="FF45" s="5">
        <f t="shared" si="33"/>
        <v>0</v>
      </c>
      <c r="FG45" s="5">
        <f t="shared" si="34"/>
        <v>1</v>
      </c>
      <c r="FH45" s="5">
        <f t="shared" si="35"/>
        <v>0</v>
      </c>
      <c r="FI45" s="5">
        <f t="shared" si="36"/>
        <v>0</v>
      </c>
      <c r="FJ45" s="5">
        <f t="shared" si="59"/>
        <v>0</v>
      </c>
      <c r="FK45" s="5">
        <f t="shared" si="37"/>
        <v>1</v>
      </c>
      <c r="FL45" s="5">
        <f t="shared" si="38"/>
        <v>1</v>
      </c>
      <c r="FM45" s="5">
        <f t="shared" si="60"/>
        <v>0</v>
      </c>
      <c r="FN45" s="5">
        <f t="shared" si="39"/>
        <v>0</v>
      </c>
      <c r="FO45" s="5">
        <f t="shared" si="40"/>
        <v>1</v>
      </c>
    </row>
    <row r="46" spans="1:171" ht="30" customHeight="1">
      <c r="B46" s="95"/>
      <c r="C46" s="12" t="s">
        <v>145</v>
      </c>
      <c r="D46" s="30">
        <v>3</v>
      </c>
      <c r="E46" s="42" t="s">
        <v>140</v>
      </c>
      <c r="F46" s="42" t="s">
        <v>109</v>
      </c>
      <c r="G46" s="42"/>
      <c r="H46" s="42" t="s">
        <v>126</v>
      </c>
      <c r="I46" s="42" t="s">
        <v>129</v>
      </c>
      <c r="J46" s="42"/>
      <c r="K46" s="42" t="s">
        <v>126</v>
      </c>
      <c r="L46" s="42" t="s">
        <v>106</v>
      </c>
      <c r="M46" s="42"/>
      <c r="N46" s="57" t="s">
        <v>132</v>
      </c>
      <c r="O46" s="57" t="s">
        <v>72</v>
      </c>
      <c r="P46" s="57"/>
      <c r="Q46" s="57" t="s">
        <v>124</v>
      </c>
      <c r="R46" s="57" t="s">
        <v>87</v>
      </c>
      <c r="S46" s="57"/>
      <c r="T46" s="57" t="s">
        <v>126</v>
      </c>
      <c r="U46" s="57" t="s">
        <v>84</v>
      </c>
      <c r="V46" s="57"/>
      <c r="W46" s="57" t="s">
        <v>127</v>
      </c>
      <c r="X46" s="57" t="s">
        <v>128</v>
      </c>
      <c r="Y46" s="57"/>
      <c r="Z46" s="51" t="s">
        <v>130</v>
      </c>
      <c r="AA46" s="51" t="s">
        <v>153</v>
      </c>
      <c r="AB46" s="51"/>
      <c r="AC46" s="51" t="s">
        <v>130</v>
      </c>
      <c r="AD46" s="51" t="s">
        <v>107</v>
      </c>
      <c r="AE46" s="51"/>
      <c r="AF46" s="51" t="s">
        <v>130</v>
      </c>
      <c r="AG46" s="51" t="s">
        <v>61</v>
      </c>
      <c r="AH46" s="51"/>
      <c r="AI46" s="50" t="s">
        <v>194</v>
      </c>
      <c r="AJ46" s="50" t="s">
        <v>197</v>
      </c>
      <c r="AK46" s="50" t="s">
        <v>60</v>
      </c>
      <c r="AL46" s="50" t="s">
        <v>194</v>
      </c>
      <c r="AM46" s="50" t="s">
        <v>81</v>
      </c>
      <c r="AN46" s="50" t="s">
        <v>196</v>
      </c>
      <c r="AO46" s="42" t="s">
        <v>125</v>
      </c>
      <c r="AP46" s="42" t="s">
        <v>62</v>
      </c>
      <c r="AQ46" s="42"/>
      <c r="AR46" s="42" t="s">
        <v>143</v>
      </c>
      <c r="AS46" s="42" t="s">
        <v>73</v>
      </c>
      <c r="AT46" s="42" t="s">
        <v>53</v>
      </c>
      <c r="AU46" s="51" t="s">
        <v>141</v>
      </c>
      <c r="AV46" s="51" t="s">
        <v>150</v>
      </c>
      <c r="AW46" s="51"/>
      <c r="AX46" s="51" t="s">
        <v>130</v>
      </c>
      <c r="AY46" s="51" t="s">
        <v>113</v>
      </c>
      <c r="AZ46" s="51"/>
      <c r="BA46" s="42" t="s">
        <v>125</v>
      </c>
      <c r="BB46" s="42" t="s">
        <v>77</v>
      </c>
      <c r="BC46" s="42"/>
      <c r="BD46" s="51" t="s">
        <v>160</v>
      </c>
      <c r="BE46" s="51" t="s">
        <v>149</v>
      </c>
      <c r="BF46" s="51"/>
      <c r="BG46" s="51" t="s">
        <v>160</v>
      </c>
      <c r="BH46" s="51" t="s">
        <v>161</v>
      </c>
      <c r="BI46" s="51"/>
      <c r="BJ46" s="54" t="s">
        <v>134</v>
      </c>
      <c r="BK46" s="54" t="s">
        <v>166</v>
      </c>
      <c r="BL46" s="54" t="s">
        <v>71</v>
      </c>
      <c r="BM46" s="42" t="s">
        <v>122</v>
      </c>
      <c r="BN46" s="42" t="s">
        <v>94</v>
      </c>
      <c r="BO46" s="42"/>
      <c r="BP46" s="42" t="s">
        <v>123</v>
      </c>
      <c r="BQ46" s="42" t="s">
        <v>88</v>
      </c>
      <c r="BR46" s="42"/>
      <c r="BS46" s="42" t="s">
        <v>200</v>
      </c>
      <c r="BT46" s="42" t="s">
        <v>146</v>
      </c>
      <c r="BU46" s="42"/>
      <c r="BV46" s="42" t="s">
        <v>126</v>
      </c>
      <c r="BW46" s="42" t="s">
        <v>80</v>
      </c>
      <c r="BX46" s="42"/>
      <c r="BY46" s="42" t="s">
        <v>124</v>
      </c>
      <c r="BZ46" s="42" t="s">
        <v>67</v>
      </c>
      <c r="CA46" s="42"/>
      <c r="CB46" s="68" t="s">
        <v>159</v>
      </c>
      <c r="CC46" s="68" t="s">
        <v>68</v>
      </c>
      <c r="CD46" s="42"/>
      <c r="CE46" s="42" t="s">
        <v>124</v>
      </c>
      <c r="CF46" s="42" t="s">
        <v>57</v>
      </c>
      <c r="CG46" s="42"/>
      <c r="CH46" s="42" t="s">
        <v>124</v>
      </c>
      <c r="CI46" s="42" t="s">
        <v>97</v>
      </c>
      <c r="CJ46" s="42"/>
      <c r="CK46" s="42" t="s">
        <v>143</v>
      </c>
      <c r="CL46" s="42" t="s">
        <v>76</v>
      </c>
      <c r="CM46" s="42" t="s">
        <v>54</v>
      </c>
      <c r="CN46" s="42" t="s">
        <v>152</v>
      </c>
      <c r="CO46" s="42" t="s">
        <v>118</v>
      </c>
      <c r="CP46" s="42" t="s">
        <v>138</v>
      </c>
      <c r="CQ46" s="42" t="s">
        <v>126</v>
      </c>
      <c r="CR46" s="42" t="s">
        <v>59</v>
      </c>
      <c r="CS46" s="42"/>
      <c r="CT46" s="42" t="s">
        <v>143</v>
      </c>
      <c r="CU46" s="42" t="s">
        <v>188</v>
      </c>
      <c r="CV46" s="42"/>
      <c r="CW46" s="42" t="s">
        <v>122</v>
      </c>
      <c r="CX46" s="42" t="s">
        <v>99</v>
      </c>
      <c r="CY46" s="42"/>
      <c r="CZ46" s="53" t="s">
        <v>168</v>
      </c>
      <c r="DA46" s="53" t="s">
        <v>169</v>
      </c>
      <c r="DB46" s="53"/>
      <c r="DC46" s="53" t="s">
        <v>168</v>
      </c>
      <c r="DD46" s="53" t="s">
        <v>120</v>
      </c>
      <c r="DE46" s="53"/>
      <c r="DF46" s="42"/>
      <c r="DG46" s="42" t="s">
        <v>63</v>
      </c>
      <c r="DH46" s="42" t="s">
        <v>184</v>
      </c>
      <c r="DI46" s="65"/>
      <c r="DJ46" s="63"/>
      <c r="DK46" s="5">
        <f t="shared" si="41"/>
        <v>1</v>
      </c>
      <c r="DL46" s="5">
        <f t="shared" si="42"/>
        <v>1</v>
      </c>
      <c r="DM46" s="5">
        <f t="shared" si="43"/>
        <v>0</v>
      </c>
      <c r="DN46" s="5">
        <f t="shared" si="4"/>
        <v>0</v>
      </c>
      <c r="DO46" s="5">
        <f t="shared" si="44"/>
        <v>1</v>
      </c>
      <c r="DP46" s="5">
        <f t="shared" si="45"/>
        <v>0</v>
      </c>
      <c r="DQ46" s="5">
        <f t="shared" si="5"/>
        <v>1</v>
      </c>
      <c r="DR46" s="5">
        <f t="shared" si="6"/>
        <v>1</v>
      </c>
      <c r="DS46" s="5">
        <f t="shared" si="46"/>
        <v>1</v>
      </c>
      <c r="DT46" s="5">
        <f t="shared" si="7"/>
        <v>1</v>
      </c>
      <c r="DU46" s="5">
        <f t="shared" si="47"/>
        <v>1</v>
      </c>
      <c r="DV46" s="5">
        <f t="shared" si="8"/>
        <v>0</v>
      </c>
      <c r="DW46" s="5">
        <f t="shared" si="48"/>
        <v>0</v>
      </c>
      <c r="DX46" s="5">
        <f t="shared" si="9"/>
        <v>0</v>
      </c>
      <c r="DY46" s="5">
        <f t="shared" si="49"/>
        <v>1</v>
      </c>
      <c r="DZ46" s="5">
        <f t="shared" si="10"/>
        <v>1</v>
      </c>
      <c r="EA46" s="5">
        <f t="shared" si="50"/>
        <v>0</v>
      </c>
      <c r="EB46" s="5">
        <f t="shared" si="11"/>
        <v>0</v>
      </c>
      <c r="EC46" s="5">
        <f t="shared" si="12"/>
        <v>1</v>
      </c>
      <c r="ED46" s="5">
        <f t="shared" si="13"/>
        <v>1</v>
      </c>
      <c r="EE46" s="5">
        <f t="shared" si="51"/>
        <v>1</v>
      </c>
      <c r="EF46" s="5">
        <f t="shared" si="14"/>
        <v>1</v>
      </c>
      <c r="EG46" s="5">
        <f t="shared" si="15"/>
        <v>0</v>
      </c>
      <c r="EH46" s="5">
        <f t="shared" si="52"/>
        <v>0</v>
      </c>
      <c r="EI46" s="5">
        <f t="shared" si="53"/>
        <v>1</v>
      </c>
      <c r="EJ46" s="5">
        <f t="shared" si="16"/>
        <v>1</v>
      </c>
      <c r="EK46" s="5">
        <f t="shared" si="17"/>
        <v>1</v>
      </c>
      <c r="EL46" s="5">
        <f t="shared" si="54"/>
        <v>0</v>
      </c>
      <c r="EM46" s="5">
        <f t="shared" si="18"/>
        <v>0</v>
      </c>
      <c r="EN46" s="5">
        <f t="shared" si="19"/>
        <v>1</v>
      </c>
      <c r="EO46" s="5">
        <f t="shared" si="20"/>
        <v>1</v>
      </c>
      <c r="EP46" s="5">
        <f t="shared" si="21"/>
        <v>1</v>
      </c>
      <c r="EQ46" s="5">
        <f t="shared" si="55"/>
        <v>1</v>
      </c>
      <c r="ER46" s="5">
        <f t="shared" si="22"/>
        <v>0</v>
      </c>
      <c r="ES46" s="5">
        <f t="shared" si="23"/>
        <v>1</v>
      </c>
      <c r="ET46" s="5">
        <f t="shared" si="24"/>
        <v>1</v>
      </c>
      <c r="EU46" s="5">
        <f t="shared" si="56"/>
        <v>0</v>
      </c>
      <c r="EV46" s="5">
        <f t="shared" si="57"/>
        <v>0</v>
      </c>
      <c r="EW46" s="5">
        <f t="shared" si="58"/>
        <v>1</v>
      </c>
      <c r="EX46" s="5">
        <f t="shared" si="25"/>
        <v>1</v>
      </c>
      <c r="EY46" s="5">
        <f t="shared" si="26"/>
        <v>1</v>
      </c>
      <c r="EZ46" s="5">
        <f t="shared" si="27"/>
        <v>0</v>
      </c>
      <c r="FA46" s="5">
        <f t="shared" si="28"/>
        <v>0</v>
      </c>
      <c r="FB46" s="5">
        <f t="shared" si="29"/>
        <v>0</v>
      </c>
      <c r="FC46" s="5">
        <f t="shared" si="30"/>
        <v>0</v>
      </c>
      <c r="FD46" s="5">
        <f t="shared" si="31"/>
        <v>0</v>
      </c>
      <c r="FE46" s="5">
        <f t="shared" si="32"/>
        <v>1</v>
      </c>
      <c r="FF46" s="5">
        <f t="shared" si="33"/>
        <v>0</v>
      </c>
      <c r="FG46" s="5">
        <f t="shared" si="34"/>
        <v>1</v>
      </c>
      <c r="FH46" s="5">
        <f t="shared" si="35"/>
        <v>0</v>
      </c>
      <c r="FI46" s="5">
        <f t="shared" si="36"/>
        <v>0</v>
      </c>
      <c r="FJ46" s="5">
        <f t="shared" si="59"/>
        <v>0</v>
      </c>
      <c r="FK46" s="5">
        <f t="shared" si="37"/>
        <v>0</v>
      </c>
      <c r="FL46" s="5">
        <f t="shared" si="38"/>
        <v>1</v>
      </c>
      <c r="FM46" s="5">
        <f t="shared" si="60"/>
        <v>0</v>
      </c>
      <c r="FN46" s="5">
        <f t="shared" si="39"/>
        <v>1</v>
      </c>
      <c r="FO46" s="5">
        <f t="shared" si="40"/>
        <v>1</v>
      </c>
    </row>
    <row r="47" spans="1:171" ht="30" customHeight="1">
      <c r="B47" s="95"/>
      <c r="C47" s="12" t="s">
        <v>154</v>
      </c>
      <c r="D47" s="30">
        <v>4</v>
      </c>
      <c r="E47" s="42" t="s">
        <v>122</v>
      </c>
      <c r="F47" s="42" t="s">
        <v>95</v>
      </c>
      <c r="G47" s="42"/>
      <c r="H47" s="42" t="s">
        <v>126</v>
      </c>
      <c r="I47" s="42" t="s">
        <v>129</v>
      </c>
      <c r="J47" s="42"/>
      <c r="K47" s="42" t="s">
        <v>126</v>
      </c>
      <c r="L47" s="42" t="s">
        <v>106</v>
      </c>
      <c r="M47" s="42"/>
      <c r="N47" s="42" t="s">
        <v>124</v>
      </c>
      <c r="O47" s="42" t="s">
        <v>105</v>
      </c>
      <c r="P47" s="42"/>
      <c r="Q47" s="57" t="s">
        <v>124</v>
      </c>
      <c r="R47" s="42" t="s">
        <v>87</v>
      </c>
      <c r="S47" s="42"/>
      <c r="T47" s="42" t="s">
        <v>126</v>
      </c>
      <c r="U47" s="42" t="s">
        <v>84</v>
      </c>
      <c r="V47" s="42"/>
      <c r="W47" s="42" t="s">
        <v>127</v>
      </c>
      <c r="X47" s="42" t="s">
        <v>128</v>
      </c>
      <c r="Y47" s="42"/>
      <c r="Z47" s="51" t="s">
        <v>130</v>
      </c>
      <c r="AA47" s="51" t="s">
        <v>153</v>
      </c>
      <c r="AB47" s="51"/>
      <c r="AC47" s="51" t="s">
        <v>130</v>
      </c>
      <c r="AD47" s="51" t="s">
        <v>107</v>
      </c>
      <c r="AE47" s="51"/>
      <c r="AF47" s="51" t="s">
        <v>130</v>
      </c>
      <c r="AG47" s="51" t="s">
        <v>61</v>
      </c>
      <c r="AH47" s="51"/>
      <c r="AI47" s="50" t="s">
        <v>194</v>
      </c>
      <c r="AJ47" s="50" t="s">
        <v>197</v>
      </c>
      <c r="AK47" s="50" t="s">
        <v>60</v>
      </c>
      <c r="AL47" s="50" t="s">
        <v>194</v>
      </c>
      <c r="AM47" s="50" t="s">
        <v>81</v>
      </c>
      <c r="AN47" s="50" t="s">
        <v>196</v>
      </c>
      <c r="AO47" s="42" t="s">
        <v>125</v>
      </c>
      <c r="AP47" s="42" t="s">
        <v>62</v>
      </c>
      <c r="AQ47" s="42"/>
      <c r="AR47" s="42" t="s">
        <v>143</v>
      </c>
      <c r="AS47" s="42" t="s">
        <v>73</v>
      </c>
      <c r="AT47" s="42" t="s">
        <v>53</v>
      </c>
      <c r="AU47" s="51" t="s">
        <v>224</v>
      </c>
      <c r="AV47" s="51" t="s">
        <v>150</v>
      </c>
      <c r="AW47" s="51"/>
      <c r="AX47" s="51" t="s">
        <v>130</v>
      </c>
      <c r="AY47" s="51" t="s">
        <v>113</v>
      </c>
      <c r="AZ47" s="51"/>
      <c r="BA47" s="42" t="s">
        <v>125</v>
      </c>
      <c r="BB47" s="42" t="s">
        <v>77</v>
      </c>
      <c r="BC47" s="42"/>
      <c r="BD47" s="42" t="s">
        <v>126</v>
      </c>
      <c r="BE47" s="42" t="s">
        <v>83</v>
      </c>
      <c r="BF47" s="42"/>
      <c r="BG47" s="42" t="s">
        <v>132</v>
      </c>
      <c r="BH47" s="42" t="s">
        <v>72</v>
      </c>
      <c r="BI47" s="42"/>
      <c r="BJ47" s="69" t="s">
        <v>122</v>
      </c>
      <c r="BK47" s="69" t="s">
        <v>94</v>
      </c>
      <c r="BL47" s="69"/>
      <c r="BM47" s="42" t="s">
        <v>137</v>
      </c>
      <c r="BN47" s="42" t="s">
        <v>139</v>
      </c>
      <c r="BO47" s="42"/>
      <c r="BP47" s="42" t="s">
        <v>159</v>
      </c>
      <c r="BQ47" s="42" t="s">
        <v>68</v>
      </c>
      <c r="BR47" s="42"/>
      <c r="BS47" s="42" t="s">
        <v>200</v>
      </c>
      <c r="BT47" s="42" t="s">
        <v>146</v>
      </c>
      <c r="BU47" s="42"/>
      <c r="BV47" s="42" t="s">
        <v>140</v>
      </c>
      <c r="BW47" s="42" t="s">
        <v>109</v>
      </c>
      <c r="BX47" s="42"/>
      <c r="BY47" s="42" t="s">
        <v>124</v>
      </c>
      <c r="BZ47" s="42" t="s">
        <v>67</v>
      </c>
      <c r="CA47" s="42"/>
      <c r="CB47" s="68" t="s">
        <v>134</v>
      </c>
      <c r="CC47" s="68" t="s">
        <v>166</v>
      </c>
      <c r="CD47" s="68" t="s">
        <v>136</v>
      </c>
      <c r="CE47" s="42" t="s">
        <v>124</v>
      </c>
      <c r="CF47" s="42" t="s">
        <v>57</v>
      </c>
      <c r="CG47" s="42"/>
      <c r="CH47" s="42" t="s">
        <v>124</v>
      </c>
      <c r="CI47" s="42" t="s">
        <v>97</v>
      </c>
      <c r="CJ47" s="42"/>
      <c r="CK47" s="42" t="s">
        <v>143</v>
      </c>
      <c r="CL47" s="42" t="s">
        <v>76</v>
      </c>
      <c r="CM47" s="42" t="s">
        <v>54</v>
      </c>
      <c r="CN47" s="42" t="s">
        <v>152</v>
      </c>
      <c r="CO47" s="42" t="s">
        <v>118</v>
      </c>
      <c r="CP47" s="42" t="s">
        <v>138</v>
      </c>
      <c r="CQ47" s="42" t="s">
        <v>126</v>
      </c>
      <c r="CR47" s="42" t="s">
        <v>59</v>
      </c>
      <c r="CS47" s="42"/>
      <c r="CT47" s="42" t="s">
        <v>143</v>
      </c>
      <c r="CU47" s="42" t="s">
        <v>188</v>
      </c>
      <c r="CV47" s="42"/>
      <c r="CW47" s="42" t="s">
        <v>122</v>
      </c>
      <c r="CX47" s="42" t="s">
        <v>99</v>
      </c>
      <c r="CY47" s="42"/>
      <c r="CZ47" s="53" t="s">
        <v>168</v>
      </c>
      <c r="DA47" s="53" t="s">
        <v>169</v>
      </c>
      <c r="DB47" s="53"/>
      <c r="DC47" s="53" t="s">
        <v>168</v>
      </c>
      <c r="DD47" s="53" t="s">
        <v>120</v>
      </c>
      <c r="DE47" s="53"/>
      <c r="DF47" s="42"/>
      <c r="DG47" s="42" t="s">
        <v>63</v>
      </c>
      <c r="DH47" s="42" t="s">
        <v>184</v>
      </c>
      <c r="DI47" s="65"/>
      <c r="DJ47" s="63"/>
      <c r="DK47" s="5">
        <f t="shared" si="41"/>
        <v>1</v>
      </c>
      <c r="DL47" s="5">
        <f t="shared" si="42"/>
        <v>1</v>
      </c>
      <c r="DM47" s="5">
        <f t="shared" si="43"/>
        <v>0</v>
      </c>
      <c r="DN47" s="5">
        <f t="shared" si="4"/>
        <v>0</v>
      </c>
      <c r="DO47" s="5">
        <f t="shared" si="44"/>
        <v>1</v>
      </c>
      <c r="DP47" s="5">
        <f t="shared" si="45"/>
        <v>0</v>
      </c>
      <c r="DQ47" s="5">
        <f t="shared" si="5"/>
        <v>1</v>
      </c>
      <c r="DR47" s="5">
        <f t="shared" si="6"/>
        <v>1</v>
      </c>
      <c r="DS47" s="5">
        <f t="shared" si="46"/>
        <v>1</v>
      </c>
      <c r="DT47" s="5">
        <f t="shared" si="7"/>
        <v>1</v>
      </c>
      <c r="DU47" s="5">
        <f t="shared" si="47"/>
        <v>1</v>
      </c>
      <c r="DV47" s="5">
        <f t="shared" si="8"/>
        <v>0</v>
      </c>
      <c r="DW47" s="5">
        <f t="shared" si="48"/>
        <v>0</v>
      </c>
      <c r="DX47" s="5">
        <f t="shared" si="9"/>
        <v>0</v>
      </c>
      <c r="DY47" s="5">
        <f t="shared" si="49"/>
        <v>1</v>
      </c>
      <c r="DZ47" s="5">
        <f t="shared" si="10"/>
        <v>1</v>
      </c>
      <c r="EA47" s="5">
        <f t="shared" si="50"/>
        <v>0</v>
      </c>
      <c r="EB47" s="5">
        <f t="shared" si="11"/>
        <v>0</v>
      </c>
      <c r="EC47" s="5">
        <f t="shared" si="12"/>
        <v>0</v>
      </c>
      <c r="ED47" s="5">
        <f t="shared" si="13"/>
        <v>1</v>
      </c>
      <c r="EE47" s="5">
        <f t="shared" si="51"/>
        <v>1</v>
      </c>
      <c r="EF47" s="5">
        <f t="shared" si="14"/>
        <v>1</v>
      </c>
      <c r="EG47" s="5">
        <f t="shared" si="15"/>
        <v>0</v>
      </c>
      <c r="EH47" s="5">
        <f t="shared" si="52"/>
        <v>0</v>
      </c>
      <c r="EI47" s="5">
        <f t="shared" si="53"/>
        <v>1</v>
      </c>
      <c r="EJ47" s="5">
        <f t="shared" si="16"/>
        <v>1</v>
      </c>
      <c r="EK47" s="5">
        <f t="shared" si="17"/>
        <v>1</v>
      </c>
      <c r="EL47" s="5">
        <f t="shared" si="54"/>
        <v>0</v>
      </c>
      <c r="EM47" s="5">
        <f t="shared" si="18"/>
        <v>0</v>
      </c>
      <c r="EN47" s="5">
        <f t="shared" si="19"/>
        <v>0</v>
      </c>
      <c r="EO47" s="5">
        <f t="shared" si="20"/>
        <v>1</v>
      </c>
      <c r="EP47" s="5">
        <f t="shared" si="21"/>
        <v>1</v>
      </c>
      <c r="EQ47" s="5">
        <f t="shared" si="55"/>
        <v>1</v>
      </c>
      <c r="ER47" s="5">
        <f t="shared" si="22"/>
        <v>1</v>
      </c>
      <c r="ES47" s="5">
        <f t="shared" si="23"/>
        <v>1</v>
      </c>
      <c r="ET47" s="5">
        <f t="shared" si="24"/>
        <v>1</v>
      </c>
      <c r="EU47" s="5">
        <f t="shared" si="56"/>
        <v>0</v>
      </c>
      <c r="EV47" s="5">
        <f t="shared" si="57"/>
        <v>0</v>
      </c>
      <c r="EW47" s="5">
        <f t="shared" si="58"/>
        <v>1</v>
      </c>
      <c r="EX47" s="5">
        <f t="shared" si="25"/>
        <v>1</v>
      </c>
      <c r="EY47" s="5">
        <f t="shared" si="26"/>
        <v>0</v>
      </c>
      <c r="EZ47" s="5">
        <f t="shared" si="27"/>
        <v>0</v>
      </c>
      <c r="FA47" s="5">
        <f t="shared" si="28"/>
        <v>0</v>
      </c>
      <c r="FB47" s="5">
        <f t="shared" si="29"/>
        <v>0</v>
      </c>
      <c r="FC47" s="5">
        <f t="shared" si="30"/>
        <v>0</v>
      </c>
      <c r="FD47" s="5">
        <f t="shared" si="31"/>
        <v>0</v>
      </c>
      <c r="FE47" s="5">
        <f t="shared" si="32"/>
        <v>1</v>
      </c>
      <c r="FF47" s="5">
        <f t="shared" si="33"/>
        <v>1</v>
      </c>
      <c r="FG47" s="5">
        <f t="shared" si="34"/>
        <v>0</v>
      </c>
      <c r="FH47" s="5">
        <f t="shared" si="35"/>
        <v>0</v>
      </c>
      <c r="FI47" s="5">
        <f t="shared" si="36"/>
        <v>0</v>
      </c>
      <c r="FJ47" s="5">
        <f t="shared" si="59"/>
        <v>0</v>
      </c>
      <c r="FK47" s="5">
        <f t="shared" si="37"/>
        <v>0</v>
      </c>
      <c r="FL47" s="5">
        <f t="shared" si="38"/>
        <v>1</v>
      </c>
      <c r="FM47" s="5">
        <f t="shared" si="60"/>
        <v>0</v>
      </c>
      <c r="FN47" s="5">
        <f t="shared" si="39"/>
        <v>0</v>
      </c>
      <c r="FO47" s="5">
        <f t="shared" si="40"/>
        <v>1</v>
      </c>
    </row>
    <row r="48" spans="1:171" ht="25.5" customHeight="1">
      <c r="A48" s="1">
        <f>+A21</f>
        <v>0</v>
      </c>
      <c r="B48" s="95"/>
      <c r="C48" s="12" t="s">
        <v>158</v>
      </c>
      <c r="D48" s="30">
        <v>5</v>
      </c>
      <c r="E48" s="42" t="s">
        <v>123</v>
      </c>
      <c r="F48" s="42" t="s">
        <v>88</v>
      </c>
      <c r="G48" s="42"/>
      <c r="H48" s="42" t="s">
        <v>124</v>
      </c>
      <c r="I48" s="42" t="s">
        <v>104</v>
      </c>
      <c r="J48" s="42"/>
      <c r="K48" s="42" t="s">
        <v>143</v>
      </c>
      <c r="L48" s="42" t="s">
        <v>73</v>
      </c>
      <c r="M48" s="42" t="s">
        <v>53</v>
      </c>
      <c r="N48" s="51" t="s">
        <v>148</v>
      </c>
      <c r="O48" s="51" t="s">
        <v>146</v>
      </c>
      <c r="P48" s="51"/>
      <c r="Q48" s="51" t="s">
        <v>148</v>
      </c>
      <c r="R48" s="51" t="s">
        <v>162</v>
      </c>
      <c r="S48" s="51"/>
      <c r="T48" s="51" t="s">
        <v>130</v>
      </c>
      <c r="U48" s="51" t="s">
        <v>103</v>
      </c>
      <c r="V48" s="51"/>
      <c r="W48" s="51" t="s">
        <v>148</v>
      </c>
      <c r="X48" s="51" t="s">
        <v>161</v>
      </c>
      <c r="Y48" s="51"/>
      <c r="Z48" s="50" t="s">
        <v>194</v>
      </c>
      <c r="AA48" s="50" t="s">
        <v>92</v>
      </c>
      <c r="AB48" s="50" t="s">
        <v>60</v>
      </c>
      <c r="AC48" s="50" t="s">
        <v>194</v>
      </c>
      <c r="AD48" s="50" t="s">
        <v>197</v>
      </c>
      <c r="AE48" s="50" t="s">
        <v>196</v>
      </c>
      <c r="AF48" s="50" t="s">
        <v>194</v>
      </c>
      <c r="AG48" s="50" t="s">
        <v>195</v>
      </c>
      <c r="AH48" s="50" t="s">
        <v>55</v>
      </c>
      <c r="AI48" s="51" t="s">
        <v>141</v>
      </c>
      <c r="AJ48" s="51" t="s">
        <v>116</v>
      </c>
      <c r="AK48" s="51"/>
      <c r="AL48" s="51" t="s">
        <v>148</v>
      </c>
      <c r="AM48" s="51" t="s">
        <v>149</v>
      </c>
      <c r="AN48" s="51"/>
      <c r="AO48" s="51" t="s">
        <v>141</v>
      </c>
      <c r="AP48" s="51" t="s">
        <v>150</v>
      </c>
      <c r="AQ48" s="51"/>
      <c r="AR48" s="51" t="s">
        <v>141</v>
      </c>
      <c r="AS48" s="51" t="s">
        <v>111</v>
      </c>
      <c r="AT48" s="51"/>
      <c r="AU48" s="42" t="s">
        <v>124</v>
      </c>
      <c r="AV48" s="42" t="s">
        <v>97</v>
      </c>
      <c r="AW48" s="42"/>
      <c r="AX48" s="42" t="s">
        <v>140</v>
      </c>
      <c r="AY48" s="42" t="s">
        <v>109</v>
      </c>
      <c r="AZ48" s="42"/>
      <c r="BA48" s="51" t="s">
        <v>124</v>
      </c>
      <c r="BB48" s="51" t="s">
        <v>105</v>
      </c>
      <c r="BC48" s="51"/>
      <c r="BD48" s="52" t="s">
        <v>225</v>
      </c>
      <c r="BE48" s="50" t="s">
        <v>77</v>
      </c>
      <c r="BF48" s="50" t="s">
        <v>151</v>
      </c>
      <c r="BG48" s="52" t="s">
        <v>225</v>
      </c>
      <c r="BH48" s="50" t="s">
        <v>226</v>
      </c>
      <c r="BI48" s="50" t="s">
        <v>128</v>
      </c>
      <c r="BJ48" s="68" t="s">
        <v>126</v>
      </c>
      <c r="BK48" s="68" t="s">
        <v>80</v>
      </c>
      <c r="BL48" s="68"/>
      <c r="BM48" s="68" t="s">
        <v>159</v>
      </c>
      <c r="BN48" s="68" t="s">
        <v>68</v>
      </c>
      <c r="BO48" s="68"/>
      <c r="BP48" s="42" t="s">
        <v>126</v>
      </c>
      <c r="BQ48" s="42" t="s">
        <v>106</v>
      </c>
      <c r="BR48" s="42"/>
      <c r="BS48" s="42" t="s">
        <v>124</v>
      </c>
      <c r="BT48" s="42" t="s">
        <v>85</v>
      </c>
      <c r="BU48" s="42"/>
      <c r="BV48" s="69" t="s">
        <v>130</v>
      </c>
      <c r="BW48" s="69" t="s">
        <v>61</v>
      </c>
      <c r="BX48" s="69"/>
      <c r="BY48" s="68" t="s">
        <v>122</v>
      </c>
      <c r="BZ48" s="68" t="s">
        <v>64</v>
      </c>
      <c r="CA48" s="42"/>
      <c r="CB48" s="70" t="s">
        <v>137</v>
      </c>
      <c r="CC48" s="70" t="s">
        <v>138</v>
      </c>
      <c r="CD48" s="70" t="s">
        <v>139</v>
      </c>
      <c r="CE48" s="68" t="s">
        <v>134</v>
      </c>
      <c r="CF48" s="68" t="s">
        <v>136</v>
      </c>
      <c r="CG48" s="42"/>
      <c r="CH48" s="42" t="s">
        <v>126</v>
      </c>
      <c r="CI48" s="42" t="s">
        <v>129</v>
      </c>
      <c r="CJ48" s="42"/>
      <c r="CK48" s="42" t="s">
        <v>176</v>
      </c>
      <c r="CL48" s="42" t="s">
        <v>153</v>
      </c>
      <c r="CM48" s="42"/>
      <c r="CN48" s="42" t="s">
        <v>182</v>
      </c>
      <c r="CO48" s="42" t="s">
        <v>93</v>
      </c>
      <c r="CP48" s="42"/>
      <c r="CQ48" s="42" t="s">
        <v>122</v>
      </c>
      <c r="CR48" s="42" t="s">
        <v>99</v>
      </c>
      <c r="CS48" s="42"/>
      <c r="CT48" s="42" t="s">
        <v>126</v>
      </c>
      <c r="CU48" s="42" t="s">
        <v>59</v>
      </c>
      <c r="CV48" s="42"/>
      <c r="CW48" s="53" t="s">
        <v>168</v>
      </c>
      <c r="CX48" s="53" t="s">
        <v>119</v>
      </c>
      <c r="CY48" s="42"/>
      <c r="CZ48" s="53" t="s">
        <v>148</v>
      </c>
      <c r="DA48" s="53" t="s">
        <v>187</v>
      </c>
      <c r="DB48" s="53"/>
      <c r="DC48" s="42" t="s">
        <v>143</v>
      </c>
      <c r="DD48" s="42" t="s">
        <v>188</v>
      </c>
      <c r="DE48" s="42"/>
      <c r="DF48" s="42"/>
      <c r="DG48" s="42"/>
      <c r="DH48" s="42" t="s">
        <v>184</v>
      </c>
      <c r="DI48" s="65"/>
      <c r="DJ48" s="63"/>
      <c r="DK48" s="5">
        <f t="shared" si="41"/>
        <v>1</v>
      </c>
      <c r="DL48" s="5">
        <f t="shared" si="42"/>
        <v>0</v>
      </c>
      <c r="DM48" s="5">
        <f t="shared" si="43"/>
        <v>1</v>
      </c>
      <c r="DN48" s="5">
        <f t="shared" si="4"/>
        <v>0</v>
      </c>
      <c r="DO48" s="5">
        <f t="shared" si="44"/>
        <v>0</v>
      </c>
      <c r="DP48" s="5">
        <f t="shared" si="45"/>
        <v>0</v>
      </c>
      <c r="DQ48" s="5">
        <f t="shared" si="5"/>
        <v>1</v>
      </c>
      <c r="DR48" s="5">
        <f t="shared" si="6"/>
        <v>1</v>
      </c>
      <c r="DS48" s="5">
        <f t="shared" si="46"/>
        <v>1</v>
      </c>
      <c r="DT48" s="5">
        <f t="shared" si="7"/>
        <v>0</v>
      </c>
      <c r="DU48" s="5">
        <f t="shared" si="47"/>
        <v>0</v>
      </c>
      <c r="DV48" s="5">
        <f t="shared" si="8"/>
        <v>1</v>
      </c>
      <c r="DW48" s="5">
        <f t="shared" si="48"/>
        <v>0</v>
      </c>
      <c r="DX48" s="5">
        <f t="shared" si="9"/>
        <v>0</v>
      </c>
      <c r="DY48" s="5">
        <f t="shared" si="49"/>
        <v>0</v>
      </c>
      <c r="DZ48" s="5">
        <f t="shared" si="10"/>
        <v>1</v>
      </c>
      <c r="EA48" s="5">
        <f t="shared" si="50"/>
        <v>0</v>
      </c>
      <c r="EB48" s="5">
        <f t="shared" si="11"/>
        <v>0</v>
      </c>
      <c r="EC48" s="5">
        <f t="shared" si="12"/>
        <v>0</v>
      </c>
      <c r="ED48" s="5">
        <f t="shared" si="13"/>
        <v>0</v>
      </c>
      <c r="EE48" s="5">
        <f t="shared" si="51"/>
        <v>1</v>
      </c>
      <c r="EF48" s="5">
        <f t="shared" si="14"/>
        <v>1</v>
      </c>
      <c r="EG48" s="5">
        <f t="shared" si="15"/>
        <v>0</v>
      </c>
      <c r="EH48" s="5">
        <f t="shared" si="52"/>
        <v>0</v>
      </c>
      <c r="EI48" s="5">
        <f t="shared" si="53"/>
        <v>0</v>
      </c>
      <c r="EJ48" s="5">
        <f t="shared" si="16"/>
        <v>0</v>
      </c>
      <c r="EK48" s="5">
        <f t="shared" si="17"/>
        <v>1</v>
      </c>
      <c r="EL48" s="5">
        <f t="shared" si="54"/>
        <v>0</v>
      </c>
      <c r="EM48" s="5">
        <f t="shared" si="18"/>
        <v>0</v>
      </c>
      <c r="EN48" s="5">
        <f t="shared" si="19"/>
        <v>1</v>
      </c>
      <c r="EO48" s="5">
        <f t="shared" si="20"/>
        <v>0</v>
      </c>
      <c r="EP48" s="5">
        <f t="shared" si="21"/>
        <v>1</v>
      </c>
      <c r="EQ48" s="5">
        <f t="shared" si="55"/>
        <v>1</v>
      </c>
      <c r="ER48" s="5">
        <f t="shared" si="22"/>
        <v>0</v>
      </c>
      <c r="ES48" s="5">
        <f t="shared" si="23"/>
        <v>0</v>
      </c>
      <c r="ET48" s="5">
        <f t="shared" si="24"/>
        <v>1</v>
      </c>
      <c r="EU48" s="5">
        <f t="shared" si="56"/>
        <v>0</v>
      </c>
      <c r="EV48" s="5">
        <f t="shared" si="57"/>
        <v>1</v>
      </c>
      <c r="EW48" s="5">
        <f t="shared" si="58"/>
        <v>0</v>
      </c>
      <c r="EX48" s="5">
        <f t="shared" si="25"/>
        <v>0</v>
      </c>
      <c r="EY48" s="5">
        <f t="shared" si="26"/>
        <v>1</v>
      </c>
      <c r="EZ48" s="5">
        <f t="shared" si="27"/>
        <v>0</v>
      </c>
      <c r="FA48" s="5">
        <f t="shared" si="28"/>
        <v>0</v>
      </c>
      <c r="FB48" s="5">
        <f t="shared" si="29"/>
        <v>0</v>
      </c>
      <c r="FC48" s="5">
        <f t="shared" si="30"/>
        <v>1</v>
      </c>
      <c r="FD48" s="5">
        <f t="shared" si="31"/>
        <v>1</v>
      </c>
      <c r="FE48" s="5">
        <f t="shared" si="32"/>
        <v>0</v>
      </c>
      <c r="FF48" s="5">
        <f t="shared" si="33"/>
        <v>0</v>
      </c>
      <c r="FG48" s="5">
        <f t="shared" si="34"/>
        <v>0</v>
      </c>
      <c r="FH48" s="5">
        <f t="shared" si="35"/>
        <v>0</v>
      </c>
      <c r="FI48" s="5">
        <f t="shared" si="36"/>
        <v>0</v>
      </c>
      <c r="FJ48" s="5">
        <f t="shared" si="59"/>
        <v>1</v>
      </c>
      <c r="FK48" s="5">
        <f t="shared" si="37"/>
        <v>0</v>
      </c>
      <c r="FL48" s="5">
        <f t="shared" si="38"/>
        <v>1</v>
      </c>
      <c r="FM48" s="5">
        <f t="shared" si="60"/>
        <v>0</v>
      </c>
      <c r="FN48" s="5">
        <f t="shared" si="39"/>
        <v>1</v>
      </c>
      <c r="FO48" s="5">
        <f t="shared" si="40"/>
        <v>1</v>
      </c>
    </row>
    <row r="49" spans="1:171" ht="25.5" customHeight="1">
      <c r="A49" s="1" t="s">
        <v>227</v>
      </c>
      <c r="B49" s="95"/>
      <c r="C49" s="12" t="s">
        <v>172</v>
      </c>
      <c r="D49" s="30">
        <v>6</v>
      </c>
      <c r="E49" s="42" t="s">
        <v>124</v>
      </c>
      <c r="F49" s="42" t="s">
        <v>67</v>
      </c>
      <c r="G49" s="42"/>
      <c r="H49" s="42" t="s">
        <v>124</v>
      </c>
      <c r="I49" s="42" t="s">
        <v>104</v>
      </c>
      <c r="J49" s="42"/>
      <c r="K49" s="42" t="s">
        <v>143</v>
      </c>
      <c r="L49" s="42" t="s">
        <v>73</v>
      </c>
      <c r="M49" s="42" t="s">
        <v>53</v>
      </c>
      <c r="N49" s="51" t="s">
        <v>148</v>
      </c>
      <c r="O49" s="51" t="s">
        <v>146</v>
      </c>
      <c r="P49" s="51"/>
      <c r="Q49" s="51" t="s">
        <v>148</v>
      </c>
      <c r="R49" s="51" t="s">
        <v>162</v>
      </c>
      <c r="S49" s="51"/>
      <c r="T49" s="51" t="s">
        <v>130</v>
      </c>
      <c r="U49" s="51" t="s">
        <v>103</v>
      </c>
      <c r="V49" s="51"/>
      <c r="W49" s="51" t="s">
        <v>148</v>
      </c>
      <c r="X49" s="51" t="s">
        <v>161</v>
      </c>
      <c r="Y49" s="51"/>
      <c r="Z49" s="50" t="s">
        <v>194</v>
      </c>
      <c r="AA49" s="50" t="s">
        <v>92</v>
      </c>
      <c r="AB49" s="50" t="s">
        <v>60</v>
      </c>
      <c r="AC49" s="50" t="s">
        <v>194</v>
      </c>
      <c r="AD49" s="50" t="s">
        <v>197</v>
      </c>
      <c r="AE49" s="50" t="s">
        <v>196</v>
      </c>
      <c r="AF49" s="50" t="s">
        <v>194</v>
      </c>
      <c r="AG49" s="50" t="s">
        <v>195</v>
      </c>
      <c r="AH49" s="50" t="s">
        <v>55</v>
      </c>
      <c r="AI49" s="51" t="s">
        <v>141</v>
      </c>
      <c r="AJ49" s="51" t="s">
        <v>116</v>
      </c>
      <c r="AK49" s="51"/>
      <c r="AL49" s="51" t="s">
        <v>148</v>
      </c>
      <c r="AM49" s="51" t="s">
        <v>149</v>
      </c>
      <c r="AN49" s="51"/>
      <c r="AO49" s="51" t="s">
        <v>141</v>
      </c>
      <c r="AP49" s="51" t="s">
        <v>150</v>
      </c>
      <c r="AQ49" s="51"/>
      <c r="AR49" s="51" t="s">
        <v>141</v>
      </c>
      <c r="AS49" s="51" t="s">
        <v>111</v>
      </c>
      <c r="AT49" s="51"/>
      <c r="AU49" s="42" t="s">
        <v>124</v>
      </c>
      <c r="AV49" s="42" t="s">
        <v>97</v>
      </c>
      <c r="AW49" s="42"/>
      <c r="AX49" s="42" t="s">
        <v>140</v>
      </c>
      <c r="AY49" s="42" t="s">
        <v>109</v>
      </c>
      <c r="AZ49" s="42"/>
      <c r="BA49" s="51" t="s">
        <v>124</v>
      </c>
      <c r="BB49" s="51" t="s">
        <v>105</v>
      </c>
      <c r="BC49" s="51"/>
      <c r="BD49" s="52" t="s">
        <v>225</v>
      </c>
      <c r="BE49" s="50" t="s">
        <v>77</v>
      </c>
      <c r="BF49" s="50" t="s">
        <v>151</v>
      </c>
      <c r="BG49" s="52" t="s">
        <v>225</v>
      </c>
      <c r="BH49" s="50" t="s">
        <v>226</v>
      </c>
      <c r="BI49" s="50" t="s">
        <v>128</v>
      </c>
      <c r="BJ49" s="68" t="s">
        <v>130</v>
      </c>
      <c r="BK49" s="68" t="s">
        <v>213</v>
      </c>
      <c r="BL49" s="68"/>
      <c r="BM49" s="68" t="s">
        <v>134</v>
      </c>
      <c r="BN49" s="68" t="s">
        <v>71</v>
      </c>
      <c r="BO49" s="68"/>
      <c r="BP49" s="42" t="s">
        <v>126</v>
      </c>
      <c r="BQ49" s="42" t="s">
        <v>106</v>
      </c>
      <c r="BR49" s="42"/>
      <c r="BS49" s="68" t="s">
        <v>124</v>
      </c>
      <c r="BT49" s="68" t="s">
        <v>85</v>
      </c>
      <c r="BU49" s="68"/>
      <c r="BV49" s="69" t="s">
        <v>130</v>
      </c>
      <c r="BW49" s="69" t="s">
        <v>61</v>
      </c>
      <c r="BX49" s="69"/>
      <c r="BY49" s="72" t="s">
        <v>204</v>
      </c>
      <c r="BZ49" s="72" t="s">
        <v>68</v>
      </c>
      <c r="CA49" s="42"/>
      <c r="CB49" s="68" t="s">
        <v>137</v>
      </c>
      <c r="CC49" s="68" t="s">
        <v>138</v>
      </c>
      <c r="CD49" s="68" t="s">
        <v>139</v>
      </c>
      <c r="CE49" s="42" t="s">
        <v>132</v>
      </c>
      <c r="CF49" s="42" t="s">
        <v>72</v>
      </c>
      <c r="CG49" s="42"/>
      <c r="CH49" s="42" t="s">
        <v>126</v>
      </c>
      <c r="CI49" s="42" t="s">
        <v>129</v>
      </c>
      <c r="CJ49" s="42"/>
      <c r="CK49" s="42" t="s">
        <v>176</v>
      </c>
      <c r="CL49" s="42" t="s">
        <v>153</v>
      </c>
      <c r="CM49" s="42"/>
      <c r="CN49" s="42" t="s">
        <v>182</v>
      </c>
      <c r="CO49" s="42" t="s">
        <v>93</v>
      </c>
      <c r="CP49" s="42"/>
      <c r="CQ49" s="42" t="s">
        <v>122</v>
      </c>
      <c r="CR49" s="42" t="s">
        <v>99</v>
      </c>
      <c r="CS49" s="42"/>
      <c r="CT49" s="42" t="s">
        <v>126</v>
      </c>
      <c r="CU49" s="42" t="s">
        <v>59</v>
      </c>
      <c r="CV49" s="42"/>
      <c r="CW49" s="53" t="s">
        <v>168</v>
      </c>
      <c r="CX49" s="53" t="s">
        <v>119</v>
      </c>
      <c r="CY49" s="42"/>
      <c r="CZ49" s="53" t="s">
        <v>148</v>
      </c>
      <c r="DA49" s="53" t="s">
        <v>187</v>
      </c>
      <c r="DB49" s="53"/>
      <c r="DC49" s="42" t="s">
        <v>143</v>
      </c>
      <c r="DD49" s="42" t="s">
        <v>188</v>
      </c>
      <c r="DE49" s="42"/>
      <c r="DF49" s="42"/>
      <c r="DG49" s="42"/>
      <c r="DH49" s="42" t="s">
        <v>184</v>
      </c>
      <c r="DI49" s="65"/>
      <c r="DJ49" s="63"/>
      <c r="DK49" s="5">
        <f t="shared" si="41"/>
        <v>1</v>
      </c>
      <c r="DL49" s="5">
        <f t="shared" si="42"/>
        <v>0</v>
      </c>
      <c r="DM49" s="5">
        <f t="shared" si="43"/>
        <v>1</v>
      </c>
      <c r="DN49" s="5">
        <f t="shared" si="4"/>
        <v>0</v>
      </c>
      <c r="DO49" s="5">
        <f t="shared" si="44"/>
        <v>0</v>
      </c>
      <c r="DP49" s="5">
        <f t="shared" si="45"/>
        <v>0</v>
      </c>
      <c r="DQ49" s="5">
        <f t="shared" si="5"/>
        <v>1</v>
      </c>
      <c r="DR49" s="5">
        <f t="shared" si="6"/>
        <v>1</v>
      </c>
      <c r="DS49" s="5">
        <f t="shared" si="46"/>
        <v>1</v>
      </c>
      <c r="DT49" s="5">
        <f t="shared" si="7"/>
        <v>0</v>
      </c>
      <c r="DU49" s="5">
        <f t="shared" si="47"/>
        <v>0</v>
      </c>
      <c r="DV49" s="5">
        <f t="shared" si="8"/>
        <v>0</v>
      </c>
      <c r="DW49" s="5">
        <f t="shared" si="48"/>
        <v>0</v>
      </c>
      <c r="DX49" s="5">
        <f t="shared" si="9"/>
        <v>0</v>
      </c>
      <c r="DY49" s="5">
        <f t="shared" si="49"/>
        <v>1</v>
      </c>
      <c r="DZ49" s="5">
        <f t="shared" si="10"/>
        <v>1</v>
      </c>
      <c r="EA49" s="5">
        <f t="shared" si="50"/>
        <v>0</v>
      </c>
      <c r="EB49" s="5">
        <f t="shared" si="11"/>
        <v>0</v>
      </c>
      <c r="EC49" s="5">
        <f t="shared" si="12"/>
        <v>1</v>
      </c>
      <c r="ED49" s="5">
        <f t="shared" si="13"/>
        <v>1</v>
      </c>
      <c r="EE49" s="5">
        <f t="shared" si="51"/>
        <v>1</v>
      </c>
      <c r="EF49" s="5">
        <f t="shared" si="14"/>
        <v>1</v>
      </c>
      <c r="EG49" s="5">
        <f t="shared" si="15"/>
        <v>0</v>
      </c>
      <c r="EH49" s="5">
        <f t="shared" si="52"/>
        <v>0</v>
      </c>
      <c r="EI49" s="5">
        <f t="shared" si="53"/>
        <v>0</v>
      </c>
      <c r="EJ49" s="5">
        <f t="shared" si="16"/>
        <v>0</v>
      </c>
      <c r="EK49" s="5">
        <f t="shared" si="17"/>
        <v>1</v>
      </c>
      <c r="EL49" s="5">
        <f t="shared" si="54"/>
        <v>0</v>
      </c>
      <c r="EM49" s="5">
        <f t="shared" si="18"/>
        <v>0</v>
      </c>
      <c r="EN49" s="5">
        <f t="shared" si="19"/>
        <v>0</v>
      </c>
      <c r="EO49" s="5">
        <f t="shared" si="20"/>
        <v>0</v>
      </c>
      <c r="EP49" s="5">
        <f t="shared" si="21"/>
        <v>1</v>
      </c>
      <c r="EQ49" s="5">
        <f t="shared" si="55"/>
        <v>1</v>
      </c>
      <c r="ER49" s="5">
        <f t="shared" si="22"/>
        <v>0</v>
      </c>
      <c r="ES49" s="5">
        <f t="shared" si="23"/>
        <v>0</v>
      </c>
      <c r="ET49" s="5">
        <f t="shared" si="24"/>
        <v>1</v>
      </c>
      <c r="EU49" s="5">
        <f t="shared" si="56"/>
        <v>0</v>
      </c>
      <c r="EV49" s="5">
        <f t="shared" si="57"/>
        <v>1</v>
      </c>
      <c r="EW49" s="5">
        <f t="shared" si="58"/>
        <v>0</v>
      </c>
      <c r="EX49" s="5">
        <f t="shared" si="25"/>
        <v>0</v>
      </c>
      <c r="EY49" s="5">
        <f t="shared" si="26"/>
        <v>0</v>
      </c>
      <c r="EZ49" s="5">
        <f t="shared" si="27"/>
        <v>0</v>
      </c>
      <c r="FA49" s="5">
        <f t="shared" si="28"/>
        <v>0</v>
      </c>
      <c r="FB49" s="5">
        <f t="shared" si="29"/>
        <v>0</v>
      </c>
      <c r="FC49" s="5">
        <f t="shared" si="30"/>
        <v>1</v>
      </c>
      <c r="FD49" s="5">
        <f t="shared" si="31"/>
        <v>1</v>
      </c>
      <c r="FE49" s="5">
        <f t="shared" si="32"/>
        <v>0</v>
      </c>
      <c r="FF49" s="5">
        <f t="shared" si="33"/>
        <v>0</v>
      </c>
      <c r="FG49" s="5">
        <f t="shared" si="34"/>
        <v>1</v>
      </c>
      <c r="FH49" s="5">
        <f t="shared" si="35"/>
        <v>0</v>
      </c>
      <c r="FI49" s="5">
        <f t="shared" si="36"/>
        <v>0</v>
      </c>
      <c r="FJ49" s="5">
        <f t="shared" si="59"/>
        <v>1</v>
      </c>
      <c r="FK49" s="5">
        <f t="shared" si="37"/>
        <v>0</v>
      </c>
      <c r="FL49" s="5">
        <f t="shared" si="38"/>
        <v>1</v>
      </c>
      <c r="FM49" s="5">
        <f t="shared" si="60"/>
        <v>0</v>
      </c>
      <c r="FN49" s="5">
        <f t="shared" si="39"/>
        <v>0</v>
      </c>
      <c r="FO49" s="5">
        <f t="shared" si="40"/>
        <v>1</v>
      </c>
    </row>
    <row r="50" spans="1:171" ht="25.5" customHeight="1">
      <c r="B50" s="95"/>
      <c r="C50" s="12" t="s">
        <v>174</v>
      </c>
      <c r="D50" s="30">
        <v>7</v>
      </c>
      <c r="E50" s="42" t="s">
        <v>126</v>
      </c>
      <c r="F50" s="42" t="s">
        <v>129</v>
      </c>
      <c r="G50" s="42"/>
      <c r="H50" s="42" t="s">
        <v>159</v>
      </c>
      <c r="I50" s="42" t="s">
        <v>89</v>
      </c>
      <c r="J50" s="42"/>
      <c r="K50" s="42" t="s">
        <v>124</v>
      </c>
      <c r="L50" s="42" t="s">
        <v>104</v>
      </c>
      <c r="M50" s="42"/>
      <c r="N50" s="42" t="s">
        <v>124</v>
      </c>
      <c r="O50" s="42" t="s">
        <v>105</v>
      </c>
      <c r="P50" s="42"/>
      <c r="Q50" s="42" t="s">
        <v>125</v>
      </c>
      <c r="R50" s="42" t="s">
        <v>81</v>
      </c>
      <c r="S50" s="42"/>
      <c r="T50" s="42" t="s">
        <v>122</v>
      </c>
      <c r="U50" s="42" t="s">
        <v>93</v>
      </c>
      <c r="V50" s="42"/>
      <c r="W50" s="42" t="s">
        <v>124</v>
      </c>
      <c r="X50" s="42" t="s">
        <v>58</v>
      </c>
      <c r="Y50" s="42"/>
      <c r="Z50" s="51" t="s">
        <v>148</v>
      </c>
      <c r="AA50" s="51" t="s">
        <v>146</v>
      </c>
      <c r="AB50" s="51"/>
      <c r="AC50" s="51" t="s">
        <v>130</v>
      </c>
      <c r="AD50" s="51" t="s">
        <v>107</v>
      </c>
      <c r="AE50" s="51"/>
      <c r="AF50" s="51" t="s">
        <v>148</v>
      </c>
      <c r="AG50" s="51" t="s">
        <v>149</v>
      </c>
      <c r="AH50" s="51"/>
      <c r="AI50" s="42" t="s">
        <v>122</v>
      </c>
      <c r="AJ50" s="42" t="s">
        <v>94</v>
      </c>
      <c r="AK50" s="42"/>
      <c r="AL50" s="42" t="s">
        <v>122</v>
      </c>
      <c r="AM50" s="42" t="s">
        <v>70</v>
      </c>
      <c r="AN50" s="42"/>
      <c r="AO50" s="42" t="s">
        <v>124</v>
      </c>
      <c r="AP50" s="42" t="s">
        <v>91</v>
      </c>
      <c r="AQ50" s="42"/>
      <c r="AR50" s="42" t="s">
        <v>178</v>
      </c>
      <c r="AS50" s="42" t="s">
        <v>108</v>
      </c>
      <c r="AT50" s="42" t="s">
        <v>60</v>
      </c>
      <c r="AU50" s="52" t="s">
        <v>225</v>
      </c>
      <c r="AV50" s="52" t="s">
        <v>92</v>
      </c>
      <c r="AW50" s="52" t="s">
        <v>128</v>
      </c>
      <c r="AX50" s="52" t="s">
        <v>225</v>
      </c>
      <c r="AY50" s="52" t="s">
        <v>77</v>
      </c>
      <c r="AZ50" s="52" t="s">
        <v>151</v>
      </c>
      <c r="BA50" s="52" t="s">
        <v>225</v>
      </c>
      <c r="BB50" s="52" t="s">
        <v>219</v>
      </c>
      <c r="BC50" s="52" t="s">
        <v>228</v>
      </c>
      <c r="BD50" s="42" t="s">
        <v>126</v>
      </c>
      <c r="BE50" s="42" t="s">
        <v>83</v>
      </c>
      <c r="BF50" s="42"/>
      <c r="BG50" s="46" t="s">
        <v>143</v>
      </c>
      <c r="BH50" s="42" t="s">
        <v>76</v>
      </c>
      <c r="BI50" s="42" t="s">
        <v>53</v>
      </c>
      <c r="BJ50" s="68" t="s">
        <v>137</v>
      </c>
      <c r="BK50" s="68" t="s">
        <v>138</v>
      </c>
      <c r="BL50" s="68" t="s">
        <v>139</v>
      </c>
      <c r="BM50" s="42" t="s">
        <v>183</v>
      </c>
      <c r="BN50" s="42" t="s">
        <v>55</v>
      </c>
      <c r="BO50" s="42"/>
      <c r="BP50" s="42" t="s">
        <v>124</v>
      </c>
      <c r="BQ50" s="42" t="s">
        <v>85</v>
      </c>
      <c r="BR50" s="42"/>
      <c r="BS50" s="42" t="s">
        <v>137</v>
      </c>
      <c r="BT50" s="42" t="s">
        <v>80</v>
      </c>
      <c r="BU50" s="42"/>
      <c r="BV50" s="69" t="s">
        <v>134</v>
      </c>
      <c r="BW50" s="69" t="s">
        <v>136</v>
      </c>
      <c r="BX50" s="69"/>
      <c r="BY50" s="42" t="s">
        <v>130</v>
      </c>
      <c r="BZ50" s="42" t="s">
        <v>113</v>
      </c>
      <c r="CA50" s="42"/>
      <c r="CB50" s="70" t="s">
        <v>130</v>
      </c>
      <c r="CC50" s="70" t="s">
        <v>114</v>
      </c>
      <c r="CD50" s="70"/>
      <c r="CE50" s="42" t="s">
        <v>122</v>
      </c>
      <c r="CF50" s="42" t="s">
        <v>71</v>
      </c>
      <c r="CG50" s="42"/>
      <c r="CH50" s="50" t="s">
        <v>176</v>
      </c>
      <c r="CI50" s="50" t="s">
        <v>116</v>
      </c>
      <c r="CJ50" s="42"/>
      <c r="CK50" s="42" t="s">
        <v>124</v>
      </c>
      <c r="CL50" s="42" t="s">
        <v>97</v>
      </c>
      <c r="CM50" s="42"/>
      <c r="CN50" s="42" t="s">
        <v>141</v>
      </c>
      <c r="CO50" s="42" t="s">
        <v>118</v>
      </c>
      <c r="CP50" s="42"/>
      <c r="CQ50" s="53" t="s">
        <v>134</v>
      </c>
      <c r="CR50" s="53" t="s">
        <v>119</v>
      </c>
      <c r="CS50" s="42"/>
      <c r="CT50" s="53" t="s">
        <v>130</v>
      </c>
      <c r="CU50" s="53" t="s">
        <v>120</v>
      </c>
      <c r="CV50" s="42"/>
      <c r="CW50" s="42" t="s">
        <v>124</v>
      </c>
      <c r="CX50" s="42" t="s">
        <v>90</v>
      </c>
      <c r="CY50" s="42"/>
      <c r="CZ50" s="54" t="s">
        <v>126</v>
      </c>
      <c r="DA50" s="54" t="s">
        <v>59</v>
      </c>
      <c r="DB50" s="54"/>
      <c r="DC50" s="42" t="s">
        <v>122</v>
      </c>
      <c r="DD50" s="42" t="s">
        <v>99</v>
      </c>
      <c r="DE50" s="42"/>
      <c r="DF50" s="42"/>
      <c r="DG50" s="42"/>
      <c r="DH50" s="42" t="s">
        <v>184</v>
      </c>
      <c r="DI50" s="65"/>
      <c r="DJ50" s="63"/>
      <c r="DK50" s="5">
        <f t="shared" si="41"/>
        <v>1</v>
      </c>
      <c r="DL50" s="5">
        <f t="shared" si="42"/>
        <v>0</v>
      </c>
      <c r="DM50" s="5">
        <f t="shared" si="43"/>
        <v>1</v>
      </c>
      <c r="DN50" s="5">
        <f t="shared" si="4"/>
        <v>0</v>
      </c>
      <c r="DO50" s="5">
        <f t="shared" si="44"/>
        <v>0</v>
      </c>
      <c r="DP50" s="5">
        <f t="shared" si="45"/>
        <v>1</v>
      </c>
      <c r="DQ50" s="5">
        <f t="shared" si="5"/>
        <v>1</v>
      </c>
      <c r="DR50" s="5">
        <f t="shared" si="6"/>
        <v>1</v>
      </c>
      <c r="DS50" s="5">
        <f t="shared" si="46"/>
        <v>0</v>
      </c>
      <c r="DT50" s="5">
        <f t="shared" si="7"/>
        <v>0</v>
      </c>
      <c r="DU50" s="5">
        <f t="shared" si="47"/>
        <v>0</v>
      </c>
      <c r="DV50" s="5">
        <f t="shared" si="8"/>
        <v>0</v>
      </c>
      <c r="DW50" s="5">
        <f t="shared" si="48"/>
        <v>0</v>
      </c>
      <c r="DX50" s="5">
        <f t="shared" si="9"/>
        <v>0</v>
      </c>
      <c r="DY50" s="5">
        <f t="shared" si="49"/>
        <v>0</v>
      </c>
      <c r="DZ50" s="5">
        <f t="shared" si="10"/>
        <v>0</v>
      </c>
      <c r="EA50" s="5">
        <f t="shared" si="50"/>
        <v>0</v>
      </c>
      <c r="EB50" s="5">
        <f t="shared" si="11"/>
        <v>1</v>
      </c>
      <c r="EC50" s="5">
        <f t="shared" si="12"/>
        <v>1</v>
      </c>
      <c r="ED50" s="5">
        <f t="shared" si="13"/>
        <v>0</v>
      </c>
      <c r="EE50" s="5">
        <f t="shared" si="51"/>
        <v>0</v>
      </c>
      <c r="EF50" s="5">
        <f t="shared" si="14"/>
        <v>1</v>
      </c>
      <c r="EG50" s="5">
        <f t="shared" si="15"/>
        <v>0</v>
      </c>
      <c r="EH50" s="5">
        <f t="shared" si="52"/>
        <v>0</v>
      </c>
      <c r="EI50" s="5">
        <f t="shared" si="53"/>
        <v>1</v>
      </c>
      <c r="EJ50" s="5">
        <f t="shared" si="16"/>
        <v>0</v>
      </c>
      <c r="EK50" s="5">
        <f t="shared" si="17"/>
        <v>1</v>
      </c>
      <c r="EL50" s="5">
        <f t="shared" si="54"/>
        <v>0</v>
      </c>
      <c r="EM50" s="5">
        <f t="shared" si="18"/>
        <v>0</v>
      </c>
      <c r="EN50" s="5">
        <f t="shared" si="19"/>
        <v>1</v>
      </c>
      <c r="EO50" s="5">
        <f t="shared" si="20"/>
        <v>1</v>
      </c>
      <c r="EP50" s="5">
        <f t="shared" si="21"/>
        <v>1</v>
      </c>
      <c r="EQ50" s="5">
        <f t="shared" si="55"/>
        <v>1</v>
      </c>
      <c r="ER50" s="5">
        <f t="shared" si="22"/>
        <v>1</v>
      </c>
      <c r="ES50" s="5">
        <f t="shared" si="23"/>
        <v>0</v>
      </c>
      <c r="ET50" s="5">
        <f t="shared" si="24"/>
        <v>1</v>
      </c>
      <c r="EU50" s="5">
        <f t="shared" si="56"/>
        <v>0</v>
      </c>
      <c r="EV50" s="5">
        <f t="shared" si="57"/>
        <v>1</v>
      </c>
      <c r="EW50" s="5">
        <f t="shared" si="58"/>
        <v>0</v>
      </c>
      <c r="EX50" s="5">
        <f t="shared" si="25"/>
        <v>0</v>
      </c>
      <c r="EY50" s="5">
        <f t="shared" si="26"/>
        <v>0</v>
      </c>
      <c r="EZ50" s="5">
        <f t="shared" si="27"/>
        <v>1</v>
      </c>
      <c r="FA50" s="5">
        <f t="shared" si="28"/>
        <v>1</v>
      </c>
      <c r="FB50" s="5">
        <f t="shared" si="29"/>
        <v>1</v>
      </c>
      <c r="FC50" s="5">
        <f t="shared" si="30"/>
        <v>1</v>
      </c>
      <c r="FD50" s="5">
        <f t="shared" si="31"/>
        <v>1</v>
      </c>
      <c r="FE50" s="5">
        <f t="shared" si="32"/>
        <v>1</v>
      </c>
      <c r="FF50" s="5">
        <f t="shared" si="33"/>
        <v>0</v>
      </c>
      <c r="FG50" s="5">
        <f t="shared" si="34"/>
        <v>1</v>
      </c>
      <c r="FH50" s="5">
        <f t="shared" si="35"/>
        <v>0</v>
      </c>
      <c r="FI50" s="5">
        <f t="shared" si="36"/>
        <v>0</v>
      </c>
      <c r="FJ50" s="5">
        <f t="shared" si="59"/>
        <v>1</v>
      </c>
      <c r="FK50" s="5">
        <f t="shared" si="37"/>
        <v>0</v>
      </c>
      <c r="FL50" s="5">
        <f t="shared" si="38"/>
        <v>1</v>
      </c>
      <c r="FM50" s="5">
        <f t="shared" si="60"/>
        <v>1</v>
      </c>
      <c r="FN50" s="5">
        <f t="shared" si="39"/>
        <v>0</v>
      </c>
      <c r="FO50" s="5">
        <f t="shared" si="40"/>
        <v>1</v>
      </c>
    </row>
    <row r="51" spans="1:171" ht="25.5" customHeight="1">
      <c r="B51" s="96"/>
      <c r="C51" s="12" t="s">
        <v>177</v>
      </c>
      <c r="D51" s="12">
        <v>8</v>
      </c>
      <c r="E51" s="42" t="s">
        <v>126</v>
      </c>
      <c r="F51" s="42" t="s">
        <v>129</v>
      </c>
      <c r="G51" s="42"/>
      <c r="H51" s="42" t="s">
        <v>122</v>
      </c>
      <c r="I51" s="42" t="s">
        <v>94</v>
      </c>
      <c r="J51" s="42"/>
      <c r="K51" s="42" t="s">
        <v>124</v>
      </c>
      <c r="L51" s="42" t="s">
        <v>104</v>
      </c>
      <c r="M51" s="42"/>
      <c r="N51" s="42" t="s">
        <v>178</v>
      </c>
      <c r="O51" s="42" t="s">
        <v>108</v>
      </c>
      <c r="P51" s="42" t="s">
        <v>60</v>
      </c>
      <c r="Q51" s="42" t="s">
        <v>125</v>
      </c>
      <c r="R51" s="42" t="s">
        <v>81</v>
      </c>
      <c r="S51" s="42"/>
      <c r="T51" s="42" t="s">
        <v>122</v>
      </c>
      <c r="U51" s="42" t="s">
        <v>93</v>
      </c>
      <c r="V51" s="42"/>
      <c r="W51" s="42" t="s">
        <v>124</v>
      </c>
      <c r="X51" s="42" t="s">
        <v>58</v>
      </c>
      <c r="Y51" s="42"/>
      <c r="Z51" s="51" t="s">
        <v>148</v>
      </c>
      <c r="AA51" s="51" t="s">
        <v>146</v>
      </c>
      <c r="AB51" s="51"/>
      <c r="AC51" s="51" t="s">
        <v>130</v>
      </c>
      <c r="AD51" s="51" t="s">
        <v>107</v>
      </c>
      <c r="AE51" s="51"/>
      <c r="AF51" s="51" t="s">
        <v>148</v>
      </c>
      <c r="AG51" s="51" t="s">
        <v>149</v>
      </c>
      <c r="AH51" s="51"/>
      <c r="AI51" s="42" t="s">
        <v>178</v>
      </c>
      <c r="AJ51" s="42" t="s">
        <v>108</v>
      </c>
      <c r="AK51" s="42" t="s">
        <v>60</v>
      </c>
      <c r="AL51" s="42" t="s">
        <v>122</v>
      </c>
      <c r="AM51" s="42" t="s">
        <v>95</v>
      </c>
      <c r="AN51" s="42"/>
      <c r="AO51" s="42" t="s">
        <v>124</v>
      </c>
      <c r="AP51" s="42" t="s">
        <v>91</v>
      </c>
      <c r="AQ51" s="42"/>
      <c r="AR51" s="42" t="s">
        <v>140</v>
      </c>
      <c r="AS51" s="42" t="s">
        <v>109</v>
      </c>
      <c r="AT51" s="42"/>
      <c r="AU51" s="52" t="s">
        <v>225</v>
      </c>
      <c r="AV51" s="52" t="s">
        <v>92</v>
      </c>
      <c r="AW51" s="52" t="s">
        <v>128</v>
      </c>
      <c r="AX51" s="52" t="s">
        <v>225</v>
      </c>
      <c r="AY51" s="52" t="s">
        <v>77</v>
      </c>
      <c r="AZ51" s="52" t="s">
        <v>151</v>
      </c>
      <c r="BA51" s="52" t="s">
        <v>225</v>
      </c>
      <c r="BB51" s="52" t="s">
        <v>219</v>
      </c>
      <c r="BC51" s="52" t="s">
        <v>228</v>
      </c>
      <c r="BD51" s="42" t="s">
        <v>143</v>
      </c>
      <c r="BE51" s="42" t="s">
        <v>73</v>
      </c>
      <c r="BF51" s="42" t="s">
        <v>53</v>
      </c>
      <c r="BG51" s="46" t="s">
        <v>123</v>
      </c>
      <c r="BH51" s="42" t="s">
        <v>74</v>
      </c>
      <c r="BI51" s="42"/>
      <c r="BJ51" s="68" t="s">
        <v>137</v>
      </c>
      <c r="BK51" s="68" t="s">
        <v>138</v>
      </c>
      <c r="BL51" s="68" t="s">
        <v>139</v>
      </c>
      <c r="BM51" s="42" t="s">
        <v>130</v>
      </c>
      <c r="BN51" s="42" t="s">
        <v>111</v>
      </c>
      <c r="BO51" s="42"/>
      <c r="BP51" s="42" t="s">
        <v>124</v>
      </c>
      <c r="BQ51" s="42" t="s">
        <v>85</v>
      </c>
      <c r="BR51" s="42"/>
      <c r="BS51" s="42" t="s">
        <v>123</v>
      </c>
      <c r="BT51" s="42" t="s">
        <v>88</v>
      </c>
      <c r="BU51" s="42"/>
      <c r="BV51" s="69" t="s">
        <v>137</v>
      </c>
      <c r="BW51" s="69" t="s">
        <v>80</v>
      </c>
      <c r="BX51" s="69"/>
      <c r="BY51" s="42" t="s">
        <v>130</v>
      </c>
      <c r="BZ51" s="42" t="s">
        <v>113</v>
      </c>
      <c r="CA51" s="42"/>
      <c r="CB51" s="68" t="s">
        <v>130</v>
      </c>
      <c r="CC51" s="68" t="s">
        <v>114</v>
      </c>
      <c r="CD51" s="68"/>
      <c r="CE51" s="42" t="s">
        <v>122</v>
      </c>
      <c r="CF51" s="42" t="s">
        <v>64</v>
      </c>
      <c r="CG51" s="42"/>
      <c r="CH51" s="50" t="s">
        <v>176</v>
      </c>
      <c r="CI51" s="50" t="s">
        <v>116</v>
      </c>
      <c r="CJ51" s="42"/>
      <c r="CK51" s="42" t="s">
        <v>124</v>
      </c>
      <c r="CL51" s="42" t="s">
        <v>97</v>
      </c>
      <c r="CM51" s="42"/>
      <c r="CN51" s="42" t="s">
        <v>141</v>
      </c>
      <c r="CO51" s="42" t="s">
        <v>118</v>
      </c>
      <c r="CP51" s="42"/>
      <c r="CQ51" s="53" t="s">
        <v>134</v>
      </c>
      <c r="CR51" s="53" t="s">
        <v>119</v>
      </c>
      <c r="CS51" s="42"/>
      <c r="CT51" s="53" t="s">
        <v>130</v>
      </c>
      <c r="CU51" s="53" t="s">
        <v>120</v>
      </c>
      <c r="CV51" s="42"/>
      <c r="CW51" s="42" t="s">
        <v>124</v>
      </c>
      <c r="CX51" s="42" t="s">
        <v>90</v>
      </c>
      <c r="CY51" s="42"/>
      <c r="CZ51" s="42" t="s">
        <v>126</v>
      </c>
      <c r="DA51" s="42" t="s">
        <v>59</v>
      </c>
      <c r="DB51" s="42"/>
      <c r="DC51" s="42" t="s">
        <v>132</v>
      </c>
      <c r="DD51" s="42" t="s">
        <v>63</v>
      </c>
      <c r="DE51" s="42"/>
      <c r="DF51" s="42"/>
      <c r="DG51" s="42"/>
      <c r="DH51" s="42" t="s">
        <v>184</v>
      </c>
      <c r="DI51" s="65"/>
      <c r="DJ51" s="63"/>
      <c r="DK51" s="5">
        <f t="shared" si="41"/>
        <v>1</v>
      </c>
      <c r="DL51" s="5">
        <f t="shared" si="42"/>
        <v>0</v>
      </c>
      <c r="DM51" s="5">
        <f t="shared" si="43"/>
        <v>0</v>
      </c>
      <c r="DN51" s="5">
        <f t="shared" si="4"/>
        <v>0</v>
      </c>
      <c r="DO51" s="5">
        <f t="shared" si="44"/>
        <v>0</v>
      </c>
      <c r="DP51" s="5">
        <f t="shared" si="45"/>
        <v>1</v>
      </c>
      <c r="DQ51" s="5">
        <f t="shared" si="5"/>
        <v>1</v>
      </c>
      <c r="DR51" s="5">
        <f t="shared" si="6"/>
        <v>2</v>
      </c>
      <c r="DS51" s="5">
        <f t="shared" si="46"/>
        <v>0</v>
      </c>
      <c r="DT51" s="5">
        <f t="shared" si="7"/>
        <v>0</v>
      </c>
      <c r="DU51" s="5">
        <f t="shared" si="47"/>
        <v>1</v>
      </c>
      <c r="DV51" s="5">
        <f t="shared" si="8"/>
        <v>1</v>
      </c>
      <c r="DW51" s="5">
        <f t="shared" si="48"/>
        <v>0</v>
      </c>
      <c r="DX51" s="5">
        <f t="shared" si="9"/>
        <v>0</v>
      </c>
      <c r="DY51" s="5">
        <f t="shared" si="49"/>
        <v>0</v>
      </c>
      <c r="DZ51" s="5">
        <f t="shared" si="10"/>
        <v>0</v>
      </c>
      <c r="EA51" s="5">
        <f t="shared" si="50"/>
        <v>0</v>
      </c>
      <c r="EB51" s="5">
        <f t="shared" si="11"/>
        <v>0</v>
      </c>
      <c r="EC51" s="5">
        <f t="shared" si="12"/>
        <v>0</v>
      </c>
      <c r="ED51" s="5">
        <f t="shared" si="13"/>
        <v>0</v>
      </c>
      <c r="EE51" s="5">
        <f t="shared" si="51"/>
        <v>1</v>
      </c>
      <c r="EF51" s="5">
        <f t="shared" si="14"/>
        <v>1</v>
      </c>
      <c r="EG51" s="5">
        <f t="shared" si="15"/>
        <v>1</v>
      </c>
      <c r="EH51" s="5">
        <f t="shared" si="52"/>
        <v>0</v>
      </c>
      <c r="EI51" s="5">
        <f t="shared" si="53"/>
        <v>0</v>
      </c>
      <c r="EJ51" s="5">
        <f t="shared" si="16"/>
        <v>1</v>
      </c>
      <c r="EK51" s="5">
        <f t="shared" si="17"/>
        <v>1</v>
      </c>
      <c r="EL51" s="5">
        <f t="shared" si="54"/>
        <v>0</v>
      </c>
      <c r="EM51" s="5">
        <f t="shared" si="18"/>
        <v>0</v>
      </c>
      <c r="EN51" s="5">
        <f t="shared" si="19"/>
        <v>1</v>
      </c>
      <c r="EO51" s="5">
        <f t="shared" si="20"/>
        <v>1</v>
      </c>
      <c r="EP51" s="5">
        <f t="shared" si="21"/>
        <v>1</v>
      </c>
      <c r="EQ51" s="5">
        <f t="shared" si="55"/>
        <v>1</v>
      </c>
      <c r="ER51" s="5">
        <f t="shared" si="22"/>
        <v>0</v>
      </c>
      <c r="ES51" s="5">
        <f t="shared" si="23"/>
        <v>0</v>
      </c>
      <c r="ET51" s="5">
        <f t="shared" si="24"/>
        <v>1</v>
      </c>
      <c r="EU51" s="5">
        <f t="shared" si="56"/>
        <v>0</v>
      </c>
      <c r="EV51" s="5">
        <f t="shared" si="57"/>
        <v>1</v>
      </c>
      <c r="EW51" s="5">
        <f t="shared" si="58"/>
        <v>0</v>
      </c>
      <c r="EX51" s="5">
        <f t="shared" si="25"/>
        <v>0</v>
      </c>
      <c r="EY51" s="5">
        <f t="shared" si="26"/>
        <v>1</v>
      </c>
      <c r="EZ51" s="5">
        <f t="shared" si="27"/>
        <v>0</v>
      </c>
      <c r="FA51" s="5">
        <f t="shared" si="28"/>
        <v>1</v>
      </c>
      <c r="FB51" s="5">
        <f t="shared" si="29"/>
        <v>1</v>
      </c>
      <c r="FC51" s="5">
        <f t="shared" si="30"/>
        <v>1</v>
      </c>
      <c r="FD51" s="5">
        <f t="shared" si="31"/>
        <v>1</v>
      </c>
      <c r="FE51" s="5">
        <f t="shared" si="32"/>
        <v>1</v>
      </c>
      <c r="FF51" s="5">
        <f t="shared" si="33"/>
        <v>1</v>
      </c>
      <c r="FG51" s="5">
        <f t="shared" si="34"/>
        <v>0</v>
      </c>
      <c r="FH51" s="5">
        <f t="shared" si="35"/>
        <v>0</v>
      </c>
      <c r="FI51" s="5">
        <f t="shared" si="36"/>
        <v>0</v>
      </c>
      <c r="FJ51" s="5">
        <f t="shared" si="59"/>
        <v>1</v>
      </c>
      <c r="FK51" s="5">
        <f t="shared" si="37"/>
        <v>0</v>
      </c>
      <c r="FL51" s="5">
        <f t="shared" si="38"/>
        <v>1</v>
      </c>
      <c r="FM51" s="5">
        <f t="shared" si="60"/>
        <v>1</v>
      </c>
      <c r="FN51" s="5">
        <f t="shared" si="39"/>
        <v>1</v>
      </c>
      <c r="FO51" s="5">
        <f t="shared" si="40"/>
        <v>0</v>
      </c>
    </row>
    <row r="52" spans="1:171" ht="21" customHeight="1">
      <c r="C52" s="47" t="s">
        <v>229</v>
      </c>
      <c r="D52" s="1" t="s">
        <v>130</v>
      </c>
      <c r="E52" s="60">
        <f>COUNTIF(E$8:E$51,"ESL")</f>
        <v>8</v>
      </c>
      <c r="F52" s="49">
        <v>8</v>
      </c>
      <c r="G52" s="1" t="s">
        <v>130</v>
      </c>
      <c r="H52" s="60">
        <f>COUNTIF(H$8:H$51,"ESL")</f>
        <v>8</v>
      </c>
      <c r="I52" s="49">
        <v>8</v>
      </c>
      <c r="J52" s="1" t="s">
        <v>130</v>
      </c>
      <c r="K52" s="60">
        <f>COUNTIF(K$8:K$51,"ESL")</f>
        <v>8</v>
      </c>
      <c r="L52" s="49">
        <v>8</v>
      </c>
      <c r="M52" s="1" t="s">
        <v>130</v>
      </c>
      <c r="N52" s="60">
        <f>COUNTIF(N$8:N$51,"ESL")</f>
        <v>8</v>
      </c>
      <c r="O52" s="49">
        <v>8</v>
      </c>
      <c r="P52" s="1" t="s">
        <v>130</v>
      </c>
      <c r="Q52" s="60">
        <f>COUNTIF(Q$8:Q$51,"ESL")</f>
        <v>8</v>
      </c>
      <c r="R52" s="49">
        <v>8</v>
      </c>
      <c r="S52" s="1" t="s">
        <v>130</v>
      </c>
      <c r="T52" s="60">
        <f>COUNTIF(T$8:T$51,"ESL")</f>
        <v>8</v>
      </c>
      <c r="U52" s="49">
        <v>8</v>
      </c>
      <c r="V52" s="1" t="s">
        <v>130</v>
      </c>
      <c r="W52" s="60">
        <f>COUNTIF(W$8:W$51,"ESL")</f>
        <v>8</v>
      </c>
      <c r="X52" s="49">
        <v>8</v>
      </c>
      <c r="Y52" s="1" t="s">
        <v>130</v>
      </c>
      <c r="Z52" s="61">
        <f>COUNTIF(Z$8:Z$51,"ESL")</f>
        <v>8</v>
      </c>
      <c r="AA52" s="49">
        <v>8</v>
      </c>
      <c r="AB52" s="1" t="s">
        <v>130</v>
      </c>
      <c r="AC52" s="61">
        <f>COUNTIF(AC$8:AC$51,"ESL")</f>
        <v>8</v>
      </c>
      <c r="AD52" s="49">
        <v>8</v>
      </c>
      <c r="AE52" s="1" t="s">
        <v>130</v>
      </c>
      <c r="AF52" s="61">
        <f>COUNTIF(AF$8:AF$51,"ESL")</f>
        <v>8</v>
      </c>
      <c r="AG52" s="49">
        <v>8</v>
      </c>
      <c r="AH52" s="1" t="s">
        <v>130</v>
      </c>
      <c r="AI52" s="60">
        <f>COUNTIF(AI$8:AI$51,"ESL")</f>
        <v>6</v>
      </c>
      <c r="AJ52" s="49">
        <v>6</v>
      </c>
      <c r="AK52" s="1" t="s">
        <v>130</v>
      </c>
      <c r="AL52" s="60">
        <f>COUNTIF(AL$8:AL$51,"ESL")</f>
        <v>6</v>
      </c>
      <c r="AM52" s="49">
        <v>6</v>
      </c>
      <c r="AN52" s="1" t="s">
        <v>130</v>
      </c>
      <c r="AO52" s="60">
        <f>COUNTIF(AO$8:AO$51,"ESL")</f>
        <v>6</v>
      </c>
      <c r="AP52" s="49">
        <v>6</v>
      </c>
      <c r="AQ52" s="1" t="s">
        <v>130</v>
      </c>
      <c r="AR52" s="60">
        <f>COUNTIF(AR$8:AR$51,"ESL")</f>
        <v>6</v>
      </c>
      <c r="AS52" s="49">
        <v>6</v>
      </c>
      <c r="AT52" s="1" t="s">
        <v>130</v>
      </c>
      <c r="AU52" s="60">
        <f>COUNTIF(AU$8:AU$51,"ESL")</f>
        <v>6</v>
      </c>
      <c r="AV52" s="1">
        <v>6</v>
      </c>
      <c r="AW52" s="1" t="s">
        <v>130</v>
      </c>
      <c r="AX52" s="60">
        <f>COUNTIF(AX$8:AX$51,"ESL")</f>
        <v>6</v>
      </c>
      <c r="AY52" s="1">
        <v>6</v>
      </c>
      <c r="AZ52" s="1" t="s">
        <v>130</v>
      </c>
      <c r="BA52" s="60">
        <f>COUNTIF(BA$8:BA$51,"ESL")</f>
        <v>8</v>
      </c>
      <c r="BB52" s="1">
        <v>6</v>
      </c>
      <c r="BC52" s="1" t="s">
        <v>130</v>
      </c>
      <c r="BD52" s="60">
        <f>COUNTIF(BD$8:BD$51,"ESL")</f>
        <v>2</v>
      </c>
      <c r="BE52" s="1">
        <v>2</v>
      </c>
      <c r="BF52" s="1" t="s">
        <v>130</v>
      </c>
      <c r="BG52" s="60">
        <f>COUNTIF(BG$8:BG$51,"ESL")</f>
        <v>2</v>
      </c>
      <c r="BH52" s="1">
        <v>2</v>
      </c>
      <c r="BI52" s="60" t="s">
        <v>130</v>
      </c>
      <c r="BJ52" s="60">
        <f>COUNTIF(BJ$8:BJ$51,"ESL")</f>
        <v>8</v>
      </c>
      <c r="BK52" s="60">
        <v>8</v>
      </c>
      <c r="BM52" s="60">
        <f>COUNTIF(BM$8:BM$51,"ESL")</f>
        <v>8</v>
      </c>
      <c r="BP52" s="60">
        <f>COUNTIF(BP$8:BP$51,"ESL")</f>
        <v>8</v>
      </c>
      <c r="BS52" s="60">
        <f>COUNTIF(BS$8:BS$51,"ESL")</f>
        <v>8</v>
      </c>
      <c r="BV52" s="60">
        <f>COUNTIF(BV$8:BV$51,"ESL")</f>
        <v>8</v>
      </c>
      <c r="BY52" s="60">
        <f>COUNTIF(BY$8:BY$51,"ESL")</f>
        <v>8</v>
      </c>
      <c r="CB52" s="60">
        <f>COUNTIF(CB$8:CB$51,"ESL")</f>
        <v>8</v>
      </c>
      <c r="CE52" s="60">
        <f>COUNTIF(CE$8:CE$51,"ESL")</f>
        <v>8</v>
      </c>
      <c r="CG52" s="1" t="s">
        <v>160</v>
      </c>
      <c r="CH52" s="60">
        <f>COUNTIF(CH$8:CH$51,"TA-IELTS")</f>
        <v>2</v>
      </c>
      <c r="CJ52" s="1" t="s">
        <v>160</v>
      </c>
      <c r="CK52" s="60">
        <f>COUNTIF(CK$8:CK$51,"TA-IELTS")</f>
        <v>2</v>
      </c>
      <c r="CM52" s="1" t="s">
        <v>160</v>
      </c>
      <c r="CN52" s="60">
        <f>COUNTIF(CN$8:CN$51,"TA-IELTS")</f>
        <v>4</v>
      </c>
      <c r="CQ52" s="1">
        <f>COUNTIF(CQ$8:CQ$51,"ESL")</f>
        <v>8</v>
      </c>
      <c r="CR52" s="49">
        <v>8</v>
      </c>
      <c r="CT52" s="1">
        <f>COUNTIF(CT$8:CT$51,"ESL")</f>
        <v>8</v>
      </c>
      <c r="CU52" s="49">
        <v>8</v>
      </c>
      <c r="CW52" s="1">
        <f>COUNTIF(CW$8:CW$51,"ESL")</f>
        <v>0</v>
      </c>
      <c r="CX52" s="49">
        <v>8</v>
      </c>
      <c r="CZ52" s="1">
        <f>COUNTIF(CZ$8:CZ$51,"ESL")</f>
        <v>0</v>
      </c>
      <c r="DA52" s="49">
        <v>8</v>
      </c>
      <c r="DC52" s="1">
        <f>COUNTIF(DC$8:DC$51,"ESL")</f>
        <v>0</v>
      </c>
      <c r="DD52" s="49">
        <v>8</v>
      </c>
      <c r="DH52" s="49">
        <v>8</v>
      </c>
      <c r="DK52" s="5">
        <f t="shared" si="41"/>
        <v>0</v>
      </c>
      <c r="DL52" s="5">
        <f t="shared" si="42"/>
        <v>0</v>
      </c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</row>
    <row r="53" spans="1:171" ht="21" customHeight="1">
      <c r="C53" s="47" t="s">
        <v>134</v>
      </c>
      <c r="D53" s="1" t="s">
        <v>134</v>
      </c>
      <c r="E53" s="60">
        <f>COUNTIF(E$8:E$51,"Science")</f>
        <v>2</v>
      </c>
      <c r="F53" s="49">
        <v>2</v>
      </c>
      <c r="G53" s="1" t="s">
        <v>134</v>
      </c>
      <c r="H53" s="60">
        <f>COUNTIF(H$8:H$51,"Science")</f>
        <v>2</v>
      </c>
      <c r="I53" s="49">
        <v>2</v>
      </c>
      <c r="J53" s="1" t="s">
        <v>134</v>
      </c>
      <c r="K53" s="60">
        <f>COUNTIF(K$8:K$51,"Science")</f>
        <v>2</v>
      </c>
      <c r="L53" s="49">
        <v>2</v>
      </c>
      <c r="M53" s="1" t="s">
        <v>160</v>
      </c>
      <c r="N53" s="60">
        <f>COUNTIF(N$8:N$51,"TA-IELTS")</f>
        <v>3</v>
      </c>
      <c r="O53" s="49">
        <v>3</v>
      </c>
      <c r="P53" s="1" t="s">
        <v>160</v>
      </c>
      <c r="Q53" s="60">
        <f>COUNTIF(Q$8:Q$51,"TA-IELTS")</f>
        <v>3</v>
      </c>
      <c r="R53" s="49">
        <v>3</v>
      </c>
      <c r="S53" s="1" t="s">
        <v>160</v>
      </c>
      <c r="T53" s="60">
        <f>COUNTIF(T$8:T$51,"TA-IELTS")</f>
        <v>3</v>
      </c>
      <c r="U53" s="49">
        <v>3</v>
      </c>
      <c r="V53" s="1" t="s">
        <v>160</v>
      </c>
      <c r="W53" s="60">
        <f>COUNTIF(W$8:W$51,"TA-IELTS")</f>
        <v>3</v>
      </c>
      <c r="X53" s="49">
        <v>3</v>
      </c>
      <c r="Y53" s="1" t="s">
        <v>160</v>
      </c>
      <c r="Z53" s="61">
        <f>COUNTIF(Z$8:Z$51,"TA-IELTS")</f>
        <v>3</v>
      </c>
      <c r="AA53" s="49">
        <v>3</v>
      </c>
      <c r="AB53" s="1" t="s">
        <v>160</v>
      </c>
      <c r="AC53" s="61">
        <f>COUNTIF(AC$8:AC$51,"TA-IELTS")</f>
        <v>3</v>
      </c>
      <c r="AD53" s="49">
        <v>3</v>
      </c>
      <c r="AE53" s="1" t="s">
        <v>160</v>
      </c>
      <c r="AF53" s="61">
        <f>COUNTIF(AF$8:AF$51,"TA-IELTS")</f>
        <v>3</v>
      </c>
      <c r="AG53" s="49">
        <v>3</v>
      </c>
      <c r="AH53" s="1" t="s">
        <v>160</v>
      </c>
      <c r="AI53" s="60">
        <f>COUNTIF(AI$8:AI$51,"TA-IELTS")</f>
        <v>3</v>
      </c>
      <c r="AJ53" s="49">
        <v>3</v>
      </c>
      <c r="AK53" s="1" t="s">
        <v>160</v>
      </c>
      <c r="AL53" s="60">
        <f>COUNTIF(AL$8:AL$51,"TA-IELTS")</f>
        <v>3</v>
      </c>
      <c r="AM53" s="49">
        <v>3</v>
      </c>
      <c r="AN53" s="1" t="s">
        <v>160</v>
      </c>
      <c r="AO53" s="60">
        <f>COUNTIF(AO$8:AO$51,"TA-IELTS")</f>
        <v>3</v>
      </c>
      <c r="AP53" s="49">
        <v>3</v>
      </c>
      <c r="AQ53" s="1" t="s">
        <v>160</v>
      </c>
      <c r="AR53" s="60">
        <f>COUNTIF(AR$8:AR$51,"TA-IELTS")</f>
        <v>3</v>
      </c>
      <c r="AS53" s="49">
        <v>3</v>
      </c>
      <c r="AT53" s="1" t="s">
        <v>160</v>
      </c>
      <c r="AU53" s="60">
        <f>COUNTIF(AU$8:AU$51,"TA-IELTS")</f>
        <v>3</v>
      </c>
      <c r="AV53" s="1">
        <v>3</v>
      </c>
      <c r="AW53" s="1" t="s">
        <v>160</v>
      </c>
      <c r="AX53" s="60">
        <f>COUNTIF(AX$8:AX$51,"TA-IELTS")</f>
        <v>3</v>
      </c>
      <c r="AY53" s="1">
        <v>3</v>
      </c>
      <c r="AZ53" s="1" t="s">
        <v>160</v>
      </c>
      <c r="BA53" s="60">
        <f>COUNTIF(BA$8:BA$51,"TA-IELTS")</f>
        <v>3</v>
      </c>
      <c r="BB53" s="1">
        <v>3</v>
      </c>
      <c r="BC53" s="1" t="s">
        <v>160</v>
      </c>
      <c r="BD53" s="60">
        <f>COUNTIF(BD$8:BD$51,"TA-IELTS")</f>
        <v>5</v>
      </c>
      <c r="BE53" s="1">
        <v>5</v>
      </c>
      <c r="BF53" s="1" t="s">
        <v>160</v>
      </c>
      <c r="BG53" s="60">
        <f>COUNTIF(BG$8:BG$51,"TA-IELTS")</f>
        <v>5</v>
      </c>
      <c r="BH53" s="1">
        <v>5</v>
      </c>
      <c r="BI53" s="60" t="s">
        <v>134</v>
      </c>
      <c r="BJ53" s="60">
        <f>COUNTIF(BJ$8:BJ$51,"Science")</f>
        <v>3</v>
      </c>
      <c r="BK53" s="60">
        <v>3</v>
      </c>
      <c r="BM53" s="60">
        <f>COUNTIF(BM$8:BM$51,"Science")</f>
        <v>3</v>
      </c>
      <c r="BP53" s="60">
        <f>COUNTIF(BP$8:BP$51,"Science")</f>
        <v>3</v>
      </c>
      <c r="BS53" s="60">
        <f>COUNTIF(BS$8:BS$51,"Science")</f>
        <v>3</v>
      </c>
      <c r="BV53" s="60">
        <f>COUNTIF(BV$8:BV$51,"Science")</f>
        <v>3</v>
      </c>
      <c r="BY53" s="60">
        <f>COUNTIF(BY$8:BY$51,"Science")</f>
        <v>3</v>
      </c>
      <c r="CB53" s="60">
        <f>COUNTIF(CB$8:CB$51,"Science")</f>
        <v>3</v>
      </c>
      <c r="CE53" s="60">
        <f>COUNTIF(CE$8:CE$51,"Science")</f>
        <v>3</v>
      </c>
      <c r="CG53" s="1" t="s">
        <v>230</v>
      </c>
      <c r="CH53" s="60">
        <f>COUNTIF(CH$8:CH$51,"Independent Learning")</f>
        <v>2</v>
      </c>
      <c r="CJ53" s="1" t="s">
        <v>134</v>
      </c>
      <c r="CK53" s="60">
        <f>COUNTIF(CK$8:CK$51,"Science")</f>
        <v>2</v>
      </c>
      <c r="CM53" s="1" t="s">
        <v>134</v>
      </c>
      <c r="CN53" s="60">
        <f>COUNTIF(CN$8:CN$51,"Science")</f>
        <v>2</v>
      </c>
      <c r="CQ53" s="1">
        <f>COUNTIF(CQ$8:CQ$51,"Science")</f>
        <v>2</v>
      </c>
      <c r="CR53" s="49">
        <v>2</v>
      </c>
      <c r="CT53" s="1">
        <f>COUNTIF(CT$8:CT$51,"Science")</f>
        <v>2</v>
      </c>
      <c r="CU53" s="49">
        <v>2</v>
      </c>
      <c r="CW53" s="1">
        <f>COUNTIF(CW$8:CW$51,"Science")</f>
        <v>0</v>
      </c>
      <c r="CX53" s="49" t="s">
        <v>231</v>
      </c>
      <c r="CZ53" s="1">
        <f>COUNTIF(CZ$8:CZ$51,"Science")</f>
        <v>0</v>
      </c>
      <c r="DA53" s="49" t="s">
        <v>231</v>
      </c>
      <c r="DC53" s="1">
        <f>COUNTIF(DC$8:DC$51,"Science")</f>
        <v>0</v>
      </c>
      <c r="DD53" s="49" t="s">
        <v>231</v>
      </c>
      <c r="DH53" s="49" t="s">
        <v>231</v>
      </c>
      <c r="DK53" s="5">
        <f t="shared" si="41"/>
        <v>0</v>
      </c>
      <c r="DL53" s="5">
        <f t="shared" si="42"/>
        <v>0</v>
      </c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</row>
    <row r="54" spans="1:171" ht="21" customHeight="1">
      <c r="C54" s="47" t="s">
        <v>232</v>
      </c>
      <c r="D54" s="1" t="s">
        <v>137</v>
      </c>
      <c r="E54" s="60">
        <f>COUNTIF(E$8:E$51,"Maths")</f>
        <v>2</v>
      </c>
      <c r="F54" s="49">
        <v>2</v>
      </c>
      <c r="G54" s="1" t="s">
        <v>137</v>
      </c>
      <c r="H54" s="60">
        <f>COUNTIF(H$8:H$51,"Maths")</f>
        <v>2</v>
      </c>
      <c r="I54" s="49">
        <v>2</v>
      </c>
      <c r="J54" s="1" t="s">
        <v>137</v>
      </c>
      <c r="K54" s="60">
        <f>COUNTIF(K$8:K$51,"Maths")</f>
        <v>2</v>
      </c>
      <c r="L54" s="49">
        <v>2</v>
      </c>
      <c r="M54" s="1" t="s">
        <v>148</v>
      </c>
      <c r="N54" s="60">
        <f>COUNTIF(N$8:N$51,"GS")</f>
        <v>2</v>
      </c>
      <c r="O54" s="49">
        <v>2</v>
      </c>
      <c r="P54" s="1" t="s">
        <v>148</v>
      </c>
      <c r="Q54" s="60">
        <f>COUNTIF(Q$8:Q$51,"GS")</f>
        <v>2</v>
      </c>
      <c r="R54" s="49">
        <v>2</v>
      </c>
      <c r="S54" s="1" t="s">
        <v>148</v>
      </c>
      <c r="T54" s="60">
        <f>COUNTIF(T$8:T$51,"GS")</f>
        <v>2</v>
      </c>
      <c r="U54" s="49">
        <v>2</v>
      </c>
      <c r="V54" s="1" t="s">
        <v>148</v>
      </c>
      <c r="W54" s="60">
        <f>COUNTIF(W$8:W$51,"GS")</f>
        <v>2</v>
      </c>
      <c r="X54" s="49">
        <v>2</v>
      </c>
      <c r="Y54" s="1" t="s">
        <v>148</v>
      </c>
      <c r="Z54" s="61">
        <f>COUNTIF(Z$8:Z$51,"GS")</f>
        <v>2</v>
      </c>
      <c r="AA54" s="49">
        <v>2</v>
      </c>
      <c r="AB54" s="1" t="s">
        <v>148</v>
      </c>
      <c r="AC54" s="61">
        <f>COUNTIF(AC$8:AC$51,"GS")</f>
        <v>2</v>
      </c>
      <c r="AD54" s="49">
        <v>2</v>
      </c>
      <c r="AE54" s="1" t="s">
        <v>148</v>
      </c>
      <c r="AF54" s="61">
        <f>COUNTIF(AF$8:AF$51,"GS")</f>
        <v>2</v>
      </c>
      <c r="AG54" s="49">
        <v>2</v>
      </c>
      <c r="AH54" s="1" t="s">
        <v>148</v>
      </c>
      <c r="AI54" s="60">
        <f>COUNTIF(AI$8:AI$51,"GS")</f>
        <v>2</v>
      </c>
      <c r="AJ54" s="49">
        <v>2</v>
      </c>
      <c r="AK54" s="1" t="s">
        <v>148</v>
      </c>
      <c r="AL54" s="60">
        <f>COUNTIF(AL$8:AL$51,"GS")</f>
        <v>2</v>
      </c>
      <c r="AM54" s="49">
        <v>2</v>
      </c>
      <c r="AN54" s="1" t="s">
        <v>148</v>
      </c>
      <c r="AO54" s="60">
        <f>COUNTIF(AO$8:AO$51,"GS")</f>
        <v>2</v>
      </c>
      <c r="AP54" s="49">
        <v>2</v>
      </c>
      <c r="AQ54" s="1" t="s">
        <v>148</v>
      </c>
      <c r="AR54" s="60">
        <f>COUNTIF(AR$8:AR$51,"GS")</f>
        <v>2</v>
      </c>
      <c r="AS54" s="49">
        <v>2</v>
      </c>
      <c r="AT54" s="1" t="s">
        <v>141</v>
      </c>
      <c r="AU54" s="60">
        <f>COUNTIF(AU$8:AU$51,"TA-BGD")</f>
        <v>1</v>
      </c>
      <c r="AV54" s="1">
        <v>2</v>
      </c>
      <c r="AW54" s="1" t="s">
        <v>141</v>
      </c>
      <c r="AX54" s="60">
        <f>COUNTIF(AX$8:AX$51,"TA-BGD")</f>
        <v>2</v>
      </c>
      <c r="AY54" s="1">
        <v>2</v>
      </c>
      <c r="AZ54" s="1" t="s">
        <v>141</v>
      </c>
      <c r="BA54" s="60">
        <f>COUNTIF(BA$8:BA$51,"TA-BGD")</f>
        <v>0</v>
      </c>
      <c r="BB54" s="1">
        <v>2</v>
      </c>
      <c r="BC54" s="1" t="s">
        <v>141</v>
      </c>
      <c r="BD54" s="60">
        <f>COUNTIF(BD$8:BD$51,"TA-BGD")</f>
        <v>4</v>
      </c>
      <c r="BE54" s="1">
        <v>4</v>
      </c>
      <c r="BF54" s="1" t="s">
        <v>141</v>
      </c>
      <c r="BG54" s="60">
        <f>COUNTIF(BG$8:BG$51,"TA-BGD")</f>
        <v>4</v>
      </c>
      <c r="BH54" s="1">
        <v>4</v>
      </c>
      <c r="BI54" s="60" t="s">
        <v>137</v>
      </c>
      <c r="BJ54" s="60">
        <f>COUNTIF(BJ$8:BJ$51,"Maths")</f>
        <v>3</v>
      </c>
      <c r="BK54" s="60">
        <v>3</v>
      </c>
      <c r="BM54" s="60">
        <f>COUNTIF(BM$8:BM$51,"Maths")</f>
        <v>3</v>
      </c>
      <c r="BP54" s="60">
        <f>COUNTIF(BP$8:BP$51,"Maths")</f>
        <v>3</v>
      </c>
      <c r="BS54" s="60">
        <f>COUNTIF(BS$8:BS$51,"Maths")</f>
        <v>3</v>
      </c>
      <c r="BV54" s="60">
        <f>COUNTIF(BV$8:BV$51,"Maths")</f>
        <v>3</v>
      </c>
      <c r="BY54" s="60">
        <f>COUNTIF(BY$8:BY$51,"Maths")</f>
        <v>3</v>
      </c>
      <c r="CB54" s="60">
        <f>COUNTIF(CB$8:CB$51,"Maths")</f>
        <v>3</v>
      </c>
      <c r="CE54" s="60">
        <f>COUNTIF(CE$8:CE$51,"Maths")</f>
        <v>3</v>
      </c>
      <c r="CG54" s="1" t="s">
        <v>233</v>
      </c>
      <c r="CH54" s="60">
        <f>COUNTIF(CH$8:CH$51,"Academic Research")</f>
        <v>2</v>
      </c>
      <c r="CJ54" s="1" t="s">
        <v>137</v>
      </c>
      <c r="CK54" s="60">
        <f>COUNTIF(CK$8:CK$51,"Maths")</f>
        <v>2</v>
      </c>
      <c r="CM54" s="1" t="s">
        <v>137</v>
      </c>
      <c r="CN54" s="60">
        <f>COUNTIF(CN$8:CN$51,"Math")</f>
        <v>2</v>
      </c>
      <c r="CQ54" s="1">
        <f>COUNTIF(CQ$8:CQ$51,"Math")</f>
        <v>2</v>
      </c>
      <c r="CR54" s="49">
        <v>2</v>
      </c>
      <c r="CT54" s="1">
        <f>COUNTIF(CT$8:CT$51,"Math")</f>
        <v>2</v>
      </c>
      <c r="CU54" s="49">
        <v>2</v>
      </c>
      <c r="CW54" s="1">
        <f>COUNTIF(CW$8:CW$51,"Math")</f>
        <v>0</v>
      </c>
      <c r="CX54" s="49" t="s">
        <v>231</v>
      </c>
      <c r="CZ54" s="1">
        <f>COUNTIF(CZ$8:CZ$51,"Math")</f>
        <v>0</v>
      </c>
      <c r="DA54" s="49" t="s">
        <v>231</v>
      </c>
      <c r="DC54" s="1">
        <f>COUNTIF(DC$8:DC$51,"Math")</f>
        <v>0</v>
      </c>
      <c r="DD54" s="49" t="s">
        <v>231</v>
      </c>
      <c r="DH54" s="49" t="s">
        <v>231</v>
      </c>
      <c r="DK54" s="5">
        <f t="shared" si="41"/>
        <v>0</v>
      </c>
      <c r="DL54" s="5">
        <f t="shared" si="42"/>
        <v>0</v>
      </c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</row>
    <row r="55" spans="1:171" ht="21" customHeight="1">
      <c r="C55" s="47" t="s">
        <v>200</v>
      </c>
      <c r="D55" s="1" t="s">
        <v>148</v>
      </c>
      <c r="E55" s="60">
        <f>COUNTIF(E$8:E$51,"GS")</f>
        <v>2</v>
      </c>
      <c r="F55" s="49">
        <v>2</v>
      </c>
      <c r="G55" s="1" t="s">
        <v>148</v>
      </c>
      <c r="H55" s="60">
        <f>COUNTIF(H$8:H$51,"GS")</f>
        <v>2</v>
      </c>
      <c r="I55" s="49">
        <v>2</v>
      </c>
      <c r="J55" s="1" t="s">
        <v>148</v>
      </c>
      <c r="K55" s="60">
        <f>COUNTIF(K$8:K$51,"GS")</f>
        <v>2</v>
      </c>
      <c r="L55" s="49">
        <v>2</v>
      </c>
      <c r="O55" s="49"/>
      <c r="Q55" s="1">
        <f>COUNTIF(Q$8:Q$51,"Global Studies")</f>
        <v>0</v>
      </c>
      <c r="R55" s="49">
        <v>2</v>
      </c>
      <c r="T55" s="1">
        <f>COUNTIF(T$8:T$51,"Global Studies")</f>
        <v>0</v>
      </c>
      <c r="U55" s="49">
        <v>2</v>
      </c>
      <c r="W55" s="1">
        <f>COUNTIF(W$8:W$51,"Global Studies")</f>
        <v>0</v>
      </c>
      <c r="X55" s="49">
        <v>2</v>
      </c>
      <c r="Z55" s="1">
        <f>COUNTIF(Z$8:Z$51,"Global Studies")</f>
        <v>0</v>
      </c>
      <c r="AA55" s="49">
        <v>2</v>
      </c>
      <c r="AC55" s="1">
        <f>COUNTIF(AC$8:AC$51,"Global Studies")</f>
        <v>0</v>
      </c>
      <c r="AD55" s="49">
        <v>2</v>
      </c>
      <c r="AF55" s="1">
        <f>COUNTIF(AF$8:AF$51,"Global Studies")</f>
        <v>0</v>
      </c>
      <c r="AG55" s="49">
        <v>2</v>
      </c>
      <c r="AH55" s="1" t="s">
        <v>141</v>
      </c>
      <c r="AI55" s="60">
        <f>COUNTIF(AI$8:AI$51,"TA-BGD")</f>
        <v>2</v>
      </c>
      <c r="AJ55" s="49">
        <v>2</v>
      </c>
      <c r="AK55" s="1" t="s">
        <v>141</v>
      </c>
      <c r="AL55" s="60">
        <f>COUNTIF(AL$8:AL$51,"TA-BGD")</f>
        <v>2</v>
      </c>
      <c r="AM55" s="49">
        <v>2</v>
      </c>
      <c r="AN55" s="1" t="s">
        <v>141</v>
      </c>
      <c r="AO55" s="60">
        <f>COUNTIF(AO$8:AO$51,"TA-BGD")</f>
        <v>2</v>
      </c>
      <c r="AP55" s="49">
        <v>2</v>
      </c>
      <c r="AQ55" s="1" t="s">
        <v>141</v>
      </c>
      <c r="AR55" s="60">
        <f>COUNTIF(AR$8:AR$51,"TA-BGD")</f>
        <v>2</v>
      </c>
      <c r="AS55" s="49">
        <v>2</v>
      </c>
      <c r="AT55" s="1" t="s">
        <v>164</v>
      </c>
      <c r="AU55" s="60">
        <f>COUNTIF(AU$8:AU$51,"Business")</f>
        <v>2</v>
      </c>
      <c r="AV55" s="1">
        <v>2</v>
      </c>
      <c r="AW55" s="1" t="s">
        <v>137</v>
      </c>
      <c r="AX55" s="60">
        <f>COUNTIF(AX$8:AX$51,"Business")</f>
        <v>2</v>
      </c>
      <c r="AY55" s="1">
        <v>2</v>
      </c>
      <c r="AZ55" s="1" t="s">
        <v>164</v>
      </c>
      <c r="BA55" s="60">
        <f>COUNTIF(BA$8:BA$51,"Business")</f>
        <v>2</v>
      </c>
      <c r="BB55" s="1">
        <v>2</v>
      </c>
      <c r="BC55" s="1" t="s">
        <v>164</v>
      </c>
      <c r="BD55" s="60">
        <f>COUNTIF(BD$8:BD$51,"Business")</f>
        <v>0</v>
      </c>
      <c r="BE55" s="1">
        <v>2</v>
      </c>
      <c r="BF55" s="1" t="s">
        <v>164</v>
      </c>
      <c r="BG55" s="60">
        <f>COUNTIF(BG$8:BG$51,"Business")</f>
        <v>2</v>
      </c>
      <c r="BH55" s="1">
        <v>2</v>
      </c>
      <c r="BI55" s="60" t="s">
        <v>148</v>
      </c>
      <c r="BJ55" s="60">
        <f>COUNTIF(BJ$8:BJ$51,"Global Studies")</f>
        <v>2</v>
      </c>
      <c r="BK55" s="60">
        <v>2</v>
      </c>
      <c r="BM55" s="60">
        <f>COUNTIF(BM$8:BM$51,"Global Studies")</f>
        <v>2</v>
      </c>
      <c r="BP55" s="60">
        <f>COUNTIF(BP$8:BP$51,"Global Studies")</f>
        <v>2</v>
      </c>
      <c r="BS55" s="60">
        <f>COUNTIF(BS$8:BS$51,"Global Studies")</f>
        <v>2</v>
      </c>
      <c r="BV55" s="60">
        <f>COUNTIF(BV$8:BV$51,"Global Studies")</f>
        <v>2</v>
      </c>
      <c r="BY55" s="60">
        <f>COUNTIF(BY$8:BY$51,"Global Studies")</f>
        <v>2</v>
      </c>
      <c r="CB55" s="60">
        <f>COUNTIF(CB$8:CB$51,"Global Studies")</f>
        <v>2</v>
      </c>
      <c r="CE55" s="60">
        <f>COUNTIF(CE$8:CE$51,"Global Studies")</f>
        <v>2</v>
      </c>
      <c r="CG55" s="1" t="s">
        <v>137</v>
      </c>
      <c r="CH55" s="60">
        <f>COUNTIF(CH$8:CH$51,"Maths")</f>
        <v>2</v>
      </c>
      <c r="CJ55" s="1" t="s">
        <v>152</v>
      </c>
      <c r="CK55" s="60">
        <f>COUNTIF(CK$8:CK$51,"SAT")</f>
        <v>2</v>
      </c>
      <c r="CM55" s="1" t="s">
        <v>152</v>
      </c>
      <c r="CN55" s="60">
        <f>COUNTIF(CN$8:CN$51,"SAT")</f>
        <v>2</v>
      </c>
      <c r="CQ55" s="1">
        <f>COUNTIF(CQ$8:CQ$51,"Global Studies")</f>
        <v>0</v>
      </c>
      <c r="CR55" s="49">
        <v>2</v>
      </c>
      <c r="CT55" s="1">
        <f>COUNTIF(CT$8:CT$51,"Global Studies")</f>
        <v>0</v>
      </c>
      <c r="CU55" s="49">
        <v>2</v>
      </c>
      <c r="CW55" s="1">
        <f>COUNTIF(CW$8:CW$51,"Global Studies")</f>
        <v>0</v>
      </c>
      <c r="CX55" s="49">
        <v>2</v>
      </c>
      <c r="CZ55" s="1">
        <f>COUNTIF(CZ$8:CZ$51,"Global Studies")</f>
        <v>0</v>
      </c>
      <c r="DA55" s="49">
        <v>2</v>
      </c>
      <c r="DC55" s="1">
        <f>COUNTIF(DC$8:DC$51,"Global Studies")</f>
        <v>0</v>
      </c>
      <c r="DD55" s="49">
        <v>2</v>
      </c>
      <c r="DH55" s="49"/>
      <c r="DK55" s="5">
        <f t="shared" si="41"/>
        <v>0</v>
      </c>
      <c r="DL55" s="5">
        <f t="shared" si="42"/>
        <v>0</v>
      </c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</row>
    <row r="56" spans="1:171" ht="21" customHeight="1">
      <c r="C56" s="47" t="s">
        <v>176</v>
      </c>
      <c r="E56" s="1">
        <f>COUNTIF(E$8:E$51,"Academic English")</f>
        <v>0</v>
      </c>
      <c r="F56" s="49"/>
      <c r="H56" s="1">
        <f>COUNTIF(H$8:H$51,"Academic English")</f>
        <v>0</v>
      </c>
      <c r="I56" s="49"/>
      <c r="K56" s="1">
        <f>COUNTIF(K$8:K$51,"Academic English")</f>
        <v>0</v>
      </c>
      <c r="L56" s="49"/>
      <c r="O56" s="49"/>
      <c r="Q56" s="1">
        <f>COUNTIF(Q$8:Q$51,"Academic English")</f>
        <v>0</v>
      </c>
      <c r="R56" s="49">
        <v>3</v>
      </c>
      <c r="T56" s="1">
        <f>COUNTIF(T$8:T$51,"Academic English")</f>
        <v>0</v>
      </c>
      <c r="U56" s="49">
        <v>3</v>
      </c>
      <c r="W56" s="1">
        <f>COUNTIF(W$8:W$51,"Academic English")</f>
        <v>0</v>
      </c>
      <c r="X56" s="49">
        <v>3</v>
      </c>
      <c r="Z56" s="1">
        <f>COUNTIF(Z$8:Z$51,"Academic English")</f>
        <v>0</v>
      </c>
      <c r="AA56" s="49">
        <v>3</v>
      </c>
      <c r="AC56" s="1">
        <f>COUNTIF(AC$8:AC$51,"Academic English")</f>
        <v>0</v>
      </c>
      <c r="AD56" s="49">
        <v>3</v>
      </c>
      <c r="AF56" s="1">
        <f>COUNTIF(AF$8:AF$51,"Academic English")</f>
        <v>0</v>
      </c>
      <c r="AG56" s="49">
        <v>3</v>
      </c>
      <c r="AI56" s="1">
        <f>COUNTIF(AI$8:AI$51,"Academic English")</f>
        <v>0</v>
      </c>
      <c r="AJ56" s="49">
        <v>3</v>
      </c>
      <c r="AL56" s="1">
        <f>COUNTIF(AL$8:AL$51,"Academic English")</f>
        <v>0</v>
      </c>
      <c r="AM56" s="49">
        <v>3</v>
      </c>
      <c r="AO56" s="1">
        <f>COUNTIF(AO$8:AO$51,"Academic English")</f>
        <v>0</v>
      </c>
      <c r="AP56" s="49">
        <v>3</v>
      </c>
      <c r="AR56" s="1">
        <f>COUNTIF(AR$8:AR$51,"Academic English")</f>
        <v>0</v>
      </c>
      <c r="AS56" s="49">
        <v>3</v>
      </c>
      <c r="AU56" s="1">
        <f>COUNTIF(AU$8:AU$51,"Academic English")</f>
        <v>0</v>
      </c>
      <c r="AV56" s="1">
        <v>3</v>
      </c>
      <c r="AW56" s="1" t="s">
        <v>190</v>
      </c>
      <c r="AX56" s="1">
        <f>COUNTIF(AX$8:AX$51,"Academic English")</f>
        <v>0</v>
      </c>
      <c r="AY56" s="1">
        <v>3</v>
      </c>
      <c r="BA56" s="1">
        <f>COUNTIF(BA$8:BA$51,"Academic English")</f>
        <v>0</v>
      </c>
      <c r="BB56" s="1">
        <v>3</v>
      </c>
      <c r="BD56" s="1">
        <f>COUNTIF(BD$8:BD$51,"Academic English")</f>
        <v>0</v>
      </c>
      <c r="BE56" s="1">
        <v>3</v>
      </c>
      <c r="BG56" s="1">
        <f>COUNTIF(BG$8:BG$51,"Academic English")</f>
        <v>0</v>
      </c>
      <c r="BH56" s="1">
        <v>3</v>
      </c>
      <c r="BJ56" s="1">
        <f>COUNTIF(BJ$8:BJ$51,"Academic English")</f>
        <v>0</v>
      </c>
      <c r="BM56" s="1">
        <f>COUNTIF(BM$8:BM$51,"Academic English")</f>
        <v>0</v>
      </c>
      <c r="BP56" s="1">
        <f>COUNTIF(BP$8:BP$51,"Academic English")</f>
        <v>0</v>
      </c>
      <c r="BS56" s="1">
        <f>COUNTIF(BS$8:BS$51,"Academic English")</f>
        <v>0</v>
      </c>
      <c r="BV56" s="1">
        <f>COUNTIF(BV$8:BV$51,"Academic English")</f>
        <v>0</v>
      </c>
      <c r="BY56" s="1">
        <f>COUNTIF(BY$8:BY$51,"Academic English")</f>
        <v>0</v>
      </c>
      <c r="CB56" s="1">
        <f>COUNTIF(CB$8:CB$51,"Academic English")</f>
        <v>0</v>
      </c>
      <c r="CE56" s="1">
        <f>COUNTIF(CE$8:CE$51,"Academic English")</f>
        <v>0</v>
      </c>
      <c r="CG56" s="1" t="s">
        <v>234</v>
      </c>
      <c r="CH56" s="60">
        <f>COUNTIF(CH$8:CH$51,"Academic English")</f>
        <v>6</v>
      </c>
      <c r="CJ56" s="1" t="s">
        <v>234</v>
      </c>
      <c r="CK56" s="60">
        <f>COUNTIF(CK$8:CK$51,"Academic English")</f>
        <v>4</v>
      </c>
      <c r="CM56" s="1" t="s">
        <v>234</v>
      </c>
      <c r="CN56" s="60">
        <f>COUNTIF(CN$8:CN$51,"Academic English")</f>
        <v>4</v>
      </c>
      <c r="CQ56" s="1">
        <f>COUNTIF(CQ$8:CQ$51,"Academic English")</f>
        <v>0</v>
      </c>
      <c r="CR56" s="49"/>
      <c r="CT56" s="1">
        <f>COUNTIF(CT$8:CT$51,"Academic English")</f>
        <v>0</v>
      </c>
      <c r="CU56" s="49"/>
      <c r="CW56" s="1">
        <f>COUNTIF(CW$8:CW$51,"Academic English")</f>
        <v>0</v>
      </c>
      <c r="CX56" s="49">
        <v>3</v>
      </c>
      <c r="CZ56" s="1">
        <f>COUNTIF(CZ$8:CZ$51,"Academic English")</f>
        <v>0</v>
      </c>
      <c r="DA56" s="49">
        <v>3</v>
      </c>
      <c r="DC56" s="1">
        <f>COUNTIF(DC$8:DC$51,"Academic English")</f>
        <v>0</v>
      </c>
      <c r="DD56" s="49">
        <v>3</v>
      </c>
      <c r="DH56" s="49">
        <v>3</v>
      </c>
      <c r="DK56" s="5">
        <f t="shared" si="41"/>
        <v>0</v>
      </c>
      <c r="DL56" s="5">
        <f t="shared" si="42"/>
        <v>0</v>
      </c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</row>
    <row r="57" spans="1:171" ht="21" customHeight="1">
      <c r="C57" s="47" t="s">
        <v>189</v>
      </c>
      <c r="E57" s="1">
        <f>COUNTIF(E$8:E$51,"Bussinees Studies")</f>
        <v>0</v>
      </c>
      <c r="F57" s="49"/>
      <c r="H57" s="1">
        <f>COUNTIF(H$8:H$51,"Bussinees Studies")</f>
        <v>0</v>
      </c>
      <c r="I57" s="49"/>
      <c r="K57" s="1">
        <f>COUNTIF(K$8:K$51,"Bussinees Studies")</f>
        <v>0</v>
      </c>
      <c r="L57" s="49"/>
      <c r="O57" s="49"/>
      <c r="Q57" s="1">
        <f>COUNTIF(Q$8:Q$51,"Bussinees Studies")</f>
        <v>0</v>
      </c>
      <c r="R57" s="49"/>
      <c r="T57" s="1">
        <f>COUNTIF(T$8:T$51,"Bussinees Studies")</f>
        <v>0</v>
      </c>
      <c r="U57" s="49"/>
      <c r="W57" s="1">
        <f>COUNTIF(W$8:W$51,"Bussinees Studies")</f>
        <v>0</v>
      </c>
      <c r="X57" s="49"/>
      <c r="Z57" s="1">
        <f>COUNTIF(Z$8:Z$51,"Bussinees Studies")</f>
        <v>0</v>
      </c>
      <c r="AA57" s="49"/>
      <c r="AC57" s="1">
        <f>COUNTIF(AC$8:AC$51,"Bussinees Studies")</f>
        <v>0</v>
      </c>
      <c r="AD57" s="49"/>
      <c r="AF57" s="1">
        <f>COUNTIF(AF$8:AF$51,"Bussinees Studies")</f>
        <v>0</v>
      </c>
      <c r="AG57" s="49"/>
      <c r="AI57" s="1">
        <f>COUNTIF(AI$8:AI$51,"Bussinees Studies")</f>
        <v>0</v>
      </c>
      <c r="AJ57" s="49"/>
      <c r="AL57" s="1">
        <f>COUNTIF(AL$8:AL$51,"Bussinees Studies")</f>
        <v>0</v>
      </c>
      <c r="AM57" s="49"/>
      <c r="AO57" s="1">
        <f>COUNTIF(AO$8:AO$51,"Bussinees Studies")</f>
        <v>0</v>
      </c>
      <c r="AP57" s="49"/>
      <c r="AR57" s="1">
        <f>COUNTIF(AR$8:AR$51,"Bussinees Studies")</f>
        <v>0</v>
      </c>
      <c r="AS57" s="49"/>
      <c r="AU57" s="1">
        <f>COUNTIF(AU$8:AU$51,"Bussinees Studies")</f>
        <v>0</v>
      </c>
      <c r="AV57" s="1">
        <v>2</v>
      </c>
      <c r="AX57" s="1">
        <f>COUNTIF(AX$8:AX$51,"Bussinees Studies")</f>
        <v>0</v>
      </c>
      <c r="AY57" s="1">
        <v>2</v>
      </c>
      <c r="BA57" s="1">
        <f>COUNTIF(BA$8:BA$51,"Bussinees Studies")</f>
        <v>0</v>
      </c>
      <c r="BB57" s="1">
        <v>2</v>
      </c>
      <c r="BD57" s="1">
        <f>COUNTIF(BD$8:BD$51,"Bussinees Studies")</f>
        <v>0</v>
      </c>
      <c r="BE57" s="1">
        <v>2</v>
      </c>
      <c r="BG57" s="1">
        <f>COUNTIF(BG$8:BG$51,"Bussinees Studies")</f>
        <v>0</v>
      </c>
      <c r="BH57" s="1">
        <v>2</v>
      </c>
      <c r="BJ57" s="1">
        <f>COUNTIF(BJ$8:BJ$51,"Bussinees Studies")</f>
        <v>0</v>
      </c>
      <c r="BM57" s="1">
        <f>COUNTIF(BM$8:BM$51,"Bussinees Studies")</f>
        <v>0</v>
      </c>
      <c r="BP57" s="1">
        <f>COUNTIF(BP$8:BP$51,"Bussinees Studies")</f>
        <v>0</v>
      </c>
      <c r="BS57" s="1">
        <f>COUNTIF(BS$8:BS$51,"Bussinees Studies")</f>
        <v>0</v>
      </c>
      <c r="BV57" s="1">
        <f>COUNTIF(BV$8:BV$51,"Bussinees Studies")</f>
        <v>0</v>
      </c>
      <c r="BY57" s="1">
        <f>COUNTIF(BY$8:BY$51,"Bussinees Studies")</f>
        <v>0</v>
      </c>
      <c r="CB57" s="1">
        <f>COUNTIF(CB$8:CB$51,"Bussinees Studies")</f>
        <v>0</v>
      </c>
      <c r="CE57" s="1">
        <f>COUNTIF(CE$8:CE$51,"Bussinees Studies")</f>
        <v>0</v>
      </c>
      <c r="CG57" s="1" t="s">
        <v>141</v>
      </c>
      <c r="CH57" s="60">
        <f>COUNTIF(CH$8:CH$51,"TA-BGD")</f>
        <v>2</v>
      </c>
      <c r="CJ57" s="1" t="s">
        <v>164</v>
      </c>
      <c r="CK57" s="60">
        <f>COUNTIF(CK$8:CK$51,"Business Studies")</f>
        <v>0</v>
      </c>
      <c r="CM57" s="1" t="s">
        <v>141</v>
      </c>
      <c r="CN57" s="60">
        <f>COUNTIF(CN$8:CN$51,"TA-BGD")</f>
        <v>2</v>
      </c>
      <c r="CQ57" s="1">
        <f>COUNTIF(CQ$8:CQ$51,"Bussinees Studies")</f>
        <v>0</v>
      </c>
      <c r="CR57" s="49"/>
      <c r="CT57" s="1">
        <f>COUNTIF(CT$8:CT$51,"Bussinees Studies")</f>
        <v>0</v>
      </c>
      <c r="CU57" s="49"/>
      <c r="CW57" s="1">
        <f>COUNTIF(CW$8:CW$51,"Bussinees Studies")</f>
        <v>0</v>
      </c>
      <c r="CX57" s="49"/>
      <c r="CZ57" s="1">
        <f>COUNTIF(CZ$8:CZ$51,"Bussinees Studies")</f>
        <v>0</v>
      </c>
      <c r="DA57" s="49"/>
      <c r="DC57" s="1">
        <f>COUNTIF(DC$8:DC$51,"Bussinees Studies")</f>
        <v>0</v>
      </c>
      <c r="DD57" s="49"/>
      <c r="DH57" s="49"/>
      <c r="DK57" s="5">
        <f t="shared" si="41"/>
        <v>0</v>
      </c>
      <c r="DL57" s="5">
        <f t="shared" si="42"/>
        <v>0</v>
      </c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</row>
    <row r="58" spans="1:171" ht="21" customHeight="1">
      <c r="C58" s="47"/>
      <c r="F58" s="49"/>
      <c r="I58" s="49"/>
      <c r="L58" s="49"/>
      <c r="O58" s="49"/>
      <c r="R58" s="49"/>
      <c r="U58" s="49"/>
      <c r="X58" s="49"/>
      <c r="AA58" s="49"/>
      <c r="AD58" s="49"/>
      <c r="AG58" s="49"/>
      <c r="AJ58" s="49"/>
      <c r="AM58" s="49"/>
      <c r="AP58" s="49"/>
      <c r="AS58" s="49"/>
      <c r="CH58" s="60"/>
      <c r="CJ58" s="1" t="s">
        <v>141</v>
      </c>
      <c r="CK58" s="60">
        <f>COUNTIF(CK$8:CK$51,"TA-BGD")</f>
        <v>2</v>
      </c>
      <c r="CR58" s="49"/>
      <c r="CU58" s="49"/>
      <c r="CX58" s="49"/>
      <c r="DA58" s="49"/>
      <c r="DD58" s="49"/>
      <c r="DH58" s="49"/>
      <c r="DK58" s="5"/>
      <c r="DL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</row>
    <row r="59" spans="1:171" ht="21" customHeight="1">
      <c r="C59" s="47" t="s">
        <v>124</v>
      </c>
      <c r="E59" s="1">
        <f>COUNTIF(E$8:E$51,"Ngữ Văn")</f>
        <v>5</v>
      </c>
      <c r="F59" s="49">
        <v>5</v>
      </c>
      <c r="H59" s="1">
        <f>COUNTIF(H$8:H$51,"Ngữ Văn")</f>
        <v>5</v>
      </c>
      <c r="I59" s="49">
        <v>5</v>
      </c>
      <c r="K59" s="1">
        <f>COUNTIF(K$8:K$51,"Ngữ Văn")</f>
        <v>5</v>
      </c>
      <c r="L59" s="49">
        <v>5</v>
      </c>
      <c r="N59" s="1">
        <f>COUNTIF(N$8:N$51,"Ngữ Văn")</f>
        <v>5</v>
      </c>
      <c r="O59" s="49">
        <v>5</v>
      </c>
      <c r="Q59" s="1">
        <f>COUNTIF(Q$8:Q$51,"Ngữ Văn")</f>
        <v>5</v>
      </c>
      <c r="R59" s="49">
        <v>5</v>
      </c>
      <c r="T59" s="1">
        <f>COUNTIF(T$8:T$51,"Ngữ Văn")</f>
        <v>5</v>
      </c>
      <c r="U59" s="49">
        <v>5</v>
      </c>
      <c r="W59" s="1">
        <f>COUNTIF(W$8:W$51,"Ngữ Văn")</f>
        <v>5</v>
      </c>
      <c r="X59" s="49">
        <v>5</v>
      </c>
      <c r="Z59" s="1">
        <f>COUNTIF(Z$8:Z$51,"Ngữ Văn")</f>
        <v>4</v>
      </c>
      <c r="AA59" s="49">
        <v>4.5</v>
      </c>
      <c r="AC59" s="1">
        <f>COUNTIF(AC$8:AC$51,"Ngữ Văn")</f>
        <v>4</v>
      </c>
      <c r="AD59" s="49">
        <v>4.5</v>
      </c>
      <c r="AF59" s="1">
        <f>COUNTIF(AF$8:AF$51,"Ngữ Văn")</f>
        <v>4</v>
      </c>
      <c r="AG59" s="49">
        <v>4.5</v>
      </c>
      <c r="AI59" s="1">
        <f>COUNTIF(AI$8:AI$51,"Ngữ Văn")</f>
        <v>5</v>
      </c>
      <c r="AJ59" s="49">
        <v>5</v>
      </c>
      <c r="AL59" s="1">
        <f>COUNTIF(AL$8:AL$51,"Ngữ Văn")</f>
        <v>5</v>
      </c>
      <c r="AM59" s="49">
        <v>5</v>
      </c>
      <c r="AO59" s="1">
        <f>COUNTIF(AO$8:AO$51,"Ngữ Văn")</f>
        <v>5</v>
      </c>
      <c r="AP59" s="49">
        <v>5</v>
      </c>
      <c r="AR59" s="1">
        <f>COUNTIF(AR$8:AR$51,"Ngữ Văn")</f>
        <v>5</v>
      </c>
      <c r="AS59" s="49">
        <v>5</v>
      </c>
      <c r="AU59" s="1">
        <f>COUNTIF(AU$8:AU$51,"Ngữ Văn")</f>
        <v>5</v>
      </c>
      <c r="AV59" s="1">
        <v>5</v>
      </c>
      <c r="AX59" s="1">
        <f>COUNTIF(AX$8:AX$51,"Ngữ Văn")</f>
        <v>5</v>
      </c>
      <c r="AY59" s="1">
        <v>5</v>
      </c>
      <c r="BA59" s="1">
        <f>COUNTIF(BA$8:BA$51,"Ngữ Văn")</f>
        <v>6</v>
      </c>
      <c r="BB59" s="1">
        <v>6</v>
      </c>
      <c r="BD59" s="1">
        <f>COUNTIF(BD$8:BD$51,"Ngữ Văn")</f>
        <v>6</v>
      </c>
      <c r="BE59" s="1">
        <v>6</v>
      </c>
      <c r="BG59" s="1">
        <f>COUNTIF(BG$8:BG$51,"Ngữ Văn")</f>
        <v>6</v>
      </c>
      <c r="BH59" s="1">
        <v>6</v>
      </c>
      <c r="BJ59" s="1">
        <f>COUNTIF(BJ$8:BJ$51,"Ngữ Văn")</f>
        <v>4</v>
      </c>
      <c r="BK59" s="1">
        <v>4.5</v>
      </c>
      <c r="BM59" s="1">
        <f>COUNTIF(BM$8:BM$51,"Ngữ Văn")</f>
        <v>4</v>
      </c>
      <c r="BN59" s="1">
        <v>4.5</v>
      </c>
      <c r="BP59" s="1">
        <f>COUNTIF(BP$8:BP$51,"Ngữ Văn")</f>
        <v>4</v>
      </c>
      <c r="BQ59" s="1">
        <v>4.5</v>
      </c>
      <c r="BS59" s="1">
        <f>COUNTIF(BS$8:BS$51,"Ngữ Văn")</f>
        <v>4</v>
      </c>
      <c r="BT59" s="1">
        <v>4.5</v>
      </c>
      <c r="BV59" s="1">
        <f>COUNTIF(BV$8:BV$51,"Ngữ Văn")</f>
        <v>4</v>
      </c>
      <c r="BW59" s="1">
        <v>4</v>
      </c>
      <c r="BY59" s="1">
        <f>COUNTIF(BY$8:BY$51,"Ngữ Văn")</f>
        <v>4</v>
      </c>
      <c r="BZ59" s="1">
        <v>4</v>
      </c>
      <c r="CB59" s="1">
        <f>COUNTIF(CB$8:CB$51,"Ngữ Văn")</f>
        <v>4</v>
      </c>
      <c r="CC59" s="1">
        <v>4</v>
      </c>
      <c r="CE59" s="1">
        <f>COUNTIF(CE$8:CE$51,"Ngữ Văn")</f>
        <v>4</v>
      </c>
      <c r="CF59" s="1">
        <v>4</v>
      </c>
      <c r="CH59" s="1">
        <f>COUNTIF(CH$8:CH$51,"Ngữ Văn")</f>
        <v>5</v>
      </c>
      <c r="CI59" s="1">
        <v>5</v>
      </c>
      <c r="CK59" s="1">
        <f>COUNTIF(CK$8:CK$51,"Ngữ Văn")</f>
        <v>4</v>
      </c>
      <c r="CL59" s="1">
        <v>4</v>
      </c>
      <c r="CN59" s="1">
        <f>COUNTIF(CN$8:CN$51,"Ngữ Văn")</f>
        <v>5</v>
      </c>
      <c r="CO59" s="1">
        <v>5</v>
      </c>
      <c r="CQ59" s="1">
        <f>COUNTIF(CQ$8:CQ$51,"Ngữ Văn")</f>
        <v>5</v>
      </c>
      <c r="CR59" s="49">
        <v>5</v>
      </c>
      <c r="CT59" s="1">
        <f>COUNTIF(CT$8:CT$51,"Ngữ Văn")</f>
        <v>5</v>
      </c>
      <c r="CU59" s="49">
        <v>5</v>
      </c>
      <c r="CW59" s="1">
        <f>COUNTIF(CW$8:CW$51,"Ngữ Văn")</f>
        <v>5</v>
      </c>
      <c r="CX59" s="49">
        <v>5</v>
      </c>
      <c r="CZ59" s="1">
        <f>COUNTIF(CZ$8:CZ$51,"Ngữ Văn")</f>
        <v>4</v>
      </c>
      <c r="DA59" s="49">
        <v>4.5</v>
      </c>
      <c r="DC59" s="1">
        <f>COUNTIF(DC$8:DC$51,"Ngữ Văn")</f>
        <v>5</v>
      </c>
      <c r="DD59" s="49">
        <v>5</v>
      </c>
      <c r="DH59" s="49">
        <v>5</v>
      </c>
      <c r="DK59" s="5">
        <f t="shared" si="41"/>
        <v>0</v>
      </c>
      <c r="DL59" s="5">
        <f t="shared" si="42"/>
        <v>0</v>
      </c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</row>
    <row r="60" spans="1:171" ht="21" customHeight="1">
      <c r="C60" s="47" t="s">
        <v>126</v>
      </c>
      <c r="E60" s="1">
        <f>COUNTIF(E$8:E$51,"Toán")</f>
        <v>4</v>
      </c>
      <c r="F60" s="49">
        <v>4.5</v>
      </c>
      <c r="H60" s="1">
        <f>COUNTIF(H$8:H$51,"Toán")</f>
        <v>4</v>
      </c>
      <c r="I60" s="49">
        <v>4.5</v>
      </c>
      <c r="K60" s="1">
        <f>COUNTIF(K$8:K$51,"Toán")</f>
        <v>4</v>
      </c>
      <c r="L60" s="49">
        <v>4.5</v>
      </c>
      <c r="N60" s="1">
        <f>COUNTIF(N$8:N$51,"Toán")</f>
        <v>4</v>
      </c>
      <c r="O60" s="49">
        <v>4.5</v>
      </c>
      <c r="Q60" s="1">
        <f>COUNTIF(Q$8:Q$51,"Toán")</f>
        <v>4</v>
      </c>
      <c r="R60" s="49">
        <v>4.5</v>
      </c>
      <c r="T60" s="1">
        <f>COUNTIF(T$8:T$51,"Toán")</f>
        <v>4</v>
      </c>
      <c r="U60" s="49">
        <v>4.5</v>
      </c>
      <c r="W60" s="1">
        <f>COUNTIF(W$8:W$51,"Toán")</f>
        <v>4</v>
      </c>
      <c r="X60" s="49">
        <v>4.5</v>
      </c>
      <c r="Z60" s="1">
        <f>COUNTIF(Z$8:Z$51,"Toán")</f>
        <v>5</v>
      </c>
      <c r="AA60" s="49">
        <v>5</v>
      </c>
      <c r="AC60" s="1">
        <f>COUNTIF(AC$8:AC$51,"Toán")</f>
        <v>5</v>
      </c>
      <c r="AD60" s="49">
        <v>5</v>
      </c>
      <c r="AF60" s="1">
        <f>COUNTIF(AF$8:AF$51,"Toán")</f>
        <v>5</v>
      </c>
      <c r="AG60" s="49">
        <v>5</v>
      </c>
      <c r="AI60" s="1">
        <f>COUNTIF(AI$8:AI$51,"Toán")</f>
        <v>5</v>
      </c>
      <c r="AJ60" s="49">
        <v>5.5</v>
      </c>
      <c r="AL60" s="1">
        <f>COUNTIF(AL$8:AL$51,"Toán")</f>
        <v>5</v>
      </c>
      <c r="AM60" s="49">
        <v>5.5</v>
      </c>
      <c r="AO60" s="1">
        <f>COUNTIF(AO$8:AO$51,"Toán")</f>
        <v>5</v>
      </c>
      <c r="AP60" s="49">
        <v>5.5</v>
      </c>
      <c r="AR60" s="1">
        <f>COUNTIF(AR$8:AR$51,"Toán")</f>
        <v>5</v>
      </c>
      <c r="AS60" s="49">
        <v>5.5</v>
      </c>
      <c r="AU60" s="1">
        <f>COUNTIF(AU$8:AU$51,"Toán")</f>
        <v>6</v>
      </c>
      <c r="AV60" s="1">
        <v>6</v>
      </c>
      <c r="AX60" s="1">
        <f>COUNTIF(AX$8:AX$51,"Toán")</f>
        <v>6</v>
      </c>
      <c r="AY60" s="1">
        <v>6</v>
      </c>
      <c r="BA60" s="1">
        <f>COUNTIF(BA$8:BA$51,"Toán")</f>
        <v>5</v>
      </c>
      <c r="BB60" s="1">
        <v>5</v>
      </c>
      <c r="BD60" s="1">
        <f>COUNTIF(BD$8:BD$51,"Toán")</f>
        <v>6</v>
      </c>
      <c r="BE60" s="1">
        <v>6</v>
      </c>
      <c r="BG60" s="1">
        <f>COUNTIF(BG$8:BG$51,"Toán")</f>
        <v>7</v>
      </c>
      <c r="BH60" s="1">
        <v>7</v>
      </c>
      <c r="BJ60" s="1">
        <f>COUNTIF(BJ$8:BJ$51,"Toán")</f>
        <v>4</v>
      </c>
      <c r="BK60" s="1">
        <v>4</v>
      </c>
      <c r="BM60" s="1">
        <f>COUNTIF(BM$8:BM$51,"Toán")</f>
        <v>4</v>
      </c>
      <c r="BN60" s="1">
        <v>4</v>
      </c>
      <c r="BP60" s="1">
        <f>COUNTIF(BP$8:BP$51,"Toán")</f>
        <v>4</v>
      </c>
      <c r="BQ60" s="1">
        <v>4</v>
      </c>
      <c r="BS60" s="1">
        <f>COUNTIF(BS$8:BS$51,"Toán")</f>
        <v>4</v>
      </c>
      <c r="BT60" s="1">
        <v>4</v>
      </c>
      <c r="BV60" s="1">
        <f>COUNTIF(BV$8:BV$51,"Toán")</f>
        <v>4</v>
      </c>
      <c r="BW60" s="1">
        <v>4.5</v>
      </c>
      <c r="BY60" s="1">
        <f>COUNTIF(BY$8:BY$51,"Toán")</f>
        <v>4</v>
      </c>
      <c r="BZ60" s="1">
        <v>4.5</v>
      </c>
      <c r="CB60" s="1">
        <f>COUNTIF(CB$8:CB$51,"Toán")</f>
        <v>4</v>
      </c>
      <c r="CC60" s="1">
        <v>4.5</v>
      </c>
      <c r="CE60" s="1">
        <f>COUNTIF(CE$8:CE$51,"Toán")</f>
        <v>4</v>
      </c>
      <c r="CF60" s="1">
        <v>4.5</v>
      </c>
      <c r="CH60" s="1">
        <f>COUNTIF(CH$8:CH$51,"Toán")</f>
        <v>4</v>
      </c>
      <c r="CI60" s="1">
        <v>4</v>
      </c>
      <c r="CK60" s="1">
        <f>COUNTIF(CK$8:CK$51,"Toán")</f>
        <v>5</v>
      </c>
      <c r="CL60" s="1">
        <v>5</v>
      </c>
      <c r="CN60" s="1">
        <f>COUNTIF(CN$8:CN$51,"Toán")</f>
        <v>5</v>
      </c>
      <c r="CO60" s="1">
        <v>5</v>
      </c>
      <c r="CQ60" s="1">
        <f>COUNTIF(CQ$8:CQ$51,"Toán")</f>
        <v>4</v>
      </c>
      <c r="CR60" s="49">
        <v>4.5</v>
      </c>
      <c r="CT60" s="1">
        <f>COUNTIF(CT$8:CT$51,"Toán")</f>
        <v>4</v>
      </c>
      <c r="CU60" s="49">
        <v>4.5</v>
      </c>
      <c r="CW60" s="1">
        <f>COUNTIF(CW$8:CW$51,"Toán")</f>
        <v>4</v>
      </c>
      <c r="CX60" s="49">
        <v>4.5</v>
      </c>
      <c r="CZ60" s="1">
        <f>COUNTIF(CZ$8:CZ$51,"Toán")</f>
        <v>5</v>
      </c>
      <c r="DA60" s="49">
        <v>5</v>
      </c>
      <c r="DC60" s="1">
        <f>COUNTIF(DC$8:DC$51,"Toán")</f>
        <v>5</v>
      </c>
      <c r="DD60" s="49">
        <v>5.5</v>
      </c>
      <c r="DH60" s="49">
        <v>5.5</v>
      </c>
      <c r="DK60" s="5">
        <f t="shared" si="41"/>
        <v>0</v>
      </c>
      <c r="DL60" s="5">
        <f t="shared" si="42"/>
        <v>0</v>
      </c>
    </row>
    <row r="61" spans="1:171" ht="21" customHeight="1">
      <c r="C61" s="47" t="s">
        <v>182</v>
      </c>
      <c r="E61" s="1">
        <f>COUNTIF(E$8:E$51,"Vật Lí")</f>
        <v>0</v>
      </c>
      <c r="F61" s="49"/>
      <c r="H61" s="1">
        <f>COUNTIF(H$8:H$51,"Vật Lí")</f>
        <v>0</v>
      </c>
      <c r="I61" s="49"/>
      <c r="K61" s="1">
        <f>COUNTIF(K$8:K$51,"Vật Lí")</f>
        <v>0</v>
      </c>
      <c r="L61" s="49"/>
      <c r="N61" s="1">
        <f>COUNTIF(N$8:N$51,"Vật Lí")</f>
        <v>0</v>
      </c>
      <c r="O61" s="49"/>
      <c r="Q61" s="1">
        <f>COUNTIF(Q$8:Q$51,"Vật Lí")</f>
        <v>0</v>
      </c>
      <c r="R61" s="49"/>
      <c r="T61" s="1">
        <f>COUNTIF(T$8:T$51,"Vật Lí")</f>
        <v>0</v>
      </c>
      <c r="U61" s="49"/>
      <c r="W61" s="1">
        <f>COUNTIF(W$8:W$51,"Vật Lí")</f>
        <v>0</v>
      </c>
      <c r="X61" s="49"/>
      <c r="Z61" s="1">
        <f>COUNTIF(Z$8:Z$51,"Vật Lí")</f>
        <v>0</v>
      </c>
      <c r="AA61" s="49"/>
      <c r="AC61" s="1">
        <f>COUNTIF(AC$8:AC$51,"Vật Lí")</f>
        <v>0</v>
      </c>
      <c r="AD61" s="49"/>
      <c r="AF61" s="1">
        <f>COUNTIF(AF$8:AF$51,"Vật Lí")</f>
        <v>0</v>
      </c>
      <c r="AG61" s="49"/>
      <c r="AI61" s="1">
        <f>COUNTIF(AI$8:AI$51,"Vật Lí")</f>
        <v>0</v>
      </c>
      <c r="AJ61" s="49"/>
      <c r="AL61" s="1">
        <f>COUNTIF(AL$8:AL$51,"Vật Lí")</f>
        <v>0</v>
      </c>
      <c r="AM61" s="49"/>
      <c r="AO61" s="1">
        <f>COUNTIF(AO$8:AO$51,"Vật Lí")</f>
        <v>0</v>
      </c>
      <c r="AP61" s="49"/>
      <c r="AR61" s="1">
        <f>COUNTIF(AR$8:AR$51,"Vật Lí")</f>
        <v>0</v>
      </c>
      <c r="AS61" s="49"/>
      <c r="AU61" s="1">
        <f>COUNTIF(AU$8:AU$51,"Vật Lí")</f>
        <v>2</v>
      </c>
      <c r="AV61" s="1">
        <v>2</v>
      </c>
      <c r="AX61" s="1">
        <f>COUNTIF(AX$8:AX$51,"Vật Lí")</f>
        <v>0</v>
      </c>
      <c r="BA61" s="1">
        <f>COUNTIF(BA$8:BA$51,"Vật Lí")</f>
        <v>0</v>
      </c>
      <c r="BD61" s="1">
        <f>COUNTIF(BD$8:BD$51,"Vật Lí")</f>
        <v>2</v>
      </c>
      <c r="BE61" s="1">
        <v>2</v>
      </c>
      <c r="BG61" s="1">
        <f>COUNTIF(BG$8:BG$51,"Vật Lí")</f>
        <v>0</v>
      </c>
      <c r="BJ61" s="1">
        <f>COUNTIF(BJ$8:BJ$51,"Vật Lí")</f>
        <v>0</v>
      </c>
      <c r="BM61" s="1">
        <f>COUNTIF(BM$8:BM$51,"Vật Lí")</f>
        <v>0</v>
      </c>
      <c r="BP61" s="1">
        <f>COUNTIF(BP$8:BP$51,"Vật Lí")</f>
        <v>0</v>
      </c>
      <c r="BS61" s="1">
        <f>COUNTIF(BS$8:BS$51,"Vật Lí")</f>
        <v>0</v>
      </c>
      <c r="BV61" s="1">
        <f>COUNTIF(BV$8:BV$51,"Vật Lí")</f>
        <v>0</v>
      </c>
      <c r="BY61" s="1">
        <f>COUNTIF(BY$8:BY$51,"Vật Lí")</f>
        <v>0</v>
      </c>
      <c r="CB61" s="1">
        <f>COUNTIF(CB$8:CB$51,"Vật Lí")</f>
        <v>0</v>
      </c>
      <c r="CE61" s="1">
        <f>COUNTIF(CE$8:CE$51,"Vật Lí")</f>
        <v>0</v>
      </c>
      <c r="CH61" s="1">
        <f>COUNTIF(CH$8:CH$51,"Vật Lí")</f>
        <v>0</v>
      </c>
      <c r="CK61" s="1">
        <f>COUNTIF(CK$8:CK$51,"Vật Lí")</f>
        <v>2</v>
      </c>
      <c r="CL61" s="1">
        <v>2</v>
      </c>
      <c r="CN61" s="1">
        <f>COUNTIF(CN$8:CN$51,"Vật Lí")</f>
        <v>2</v>
      </c>
      <c r="CO61" s="1">
        <v>2</v>
      </c>
      <c r="CQ61" s="1">
        <f>COUNTIF(CQ$8:CQ$51,"Vật Lí")</f>
        <v>0</v>
      </c>
      <c r="CR61" s="49"/>
      <c r="CT61" s="1">
        <f>COUNTIF(CT$8:CT$51,"Vật Lí")</f>
        <v>0</v>
      </c>
      <c r="CU61" s="49"/>
      <c r="CW61" s="1">
        <f>COUNTIF(CW$8:CW$51,"Vật Lí")</f>
        <v>0</v>
      </c>
      <c r="CX61" s="49"/>
      <c r="CZ61" s="1">
        <f>COUNTIF(CZ$8:CZ$51,"Vật Lí")</f>
        <v>0</v>
      </c>
      <c r="DA61" s="49"/>
      <c r="DC61" s="1">
        <f>COUNTIF(DC$8:DC$51,"Vật Lí")</f>
        <v>0</v>
      </c>
      <c r="DD61" s="49"/>
      <c r="DH61" s="49"/>
      <c r="DK61" s="5">
        <f t="shared" si="41"/>
        <v>0</v>
      </c>
      <c r="DL61" s="5">
        <f t="shared" si="42"/>
        <v>0</v>
      </c>
    </row>
    <row r="62" spans="1:171" ht="21" customHeight="1">
      <c r="C62" s="47" t="s">
        <v>131</v>
      </c>
      <c r="E62" s="1">
        <f>COUNTIF(E$8:E$51,"Hóa Học")</f>
        <v>0</v>
      </c>
      <c r="F62" s="49"/>
      <c r="H62" s="1">
        <f>COUNTIF(H$8:H$51,"Hóa Học")</f>
        <v>0</v>
      </c>
      <c r="I62" s="49"/>
      <c r="K62" s="1">
        <f>COUNTIF(K$8:K$51,"Hóa Học")</f>
        <v>0</v>
      </c>
      <c r="L62" s="49"/>
      <c r="N62" s="1">
        <f>COUNTIF(N$8:N$51,"Hóa Học")</f>
        <v>0</v>
      </c>
      <c r="O62" s="49"/>
      <c r="Q62" s="1">
        <f>COUNTIF(Q$8:Q$51,"Hóa Học")</f>
        <v>0</v>
      </c>
      <c r="R62" s="49"/>
      <c r="T62" s="1">
        <f>COUNTIF(T$8:T$51,"Hóa Học")</f>
        <v>0</v>
      </c>
      <c r="U62" s="49"/>
      <c r="W62" s="1">
        <f>COUNTIF(W$8:W$51,"Hóa Học")</f>
        <v>0</v>
      </c>
      <c r="X62" s="49"/>
      <c r="Z62" s="1">
        <f>COUNTIF(Z$8:Z$51,"Hóa Học")</f>
        <v>0</v>
      </c>
      <c r="AA62" s="49"/>
      <c r="AC62" s="1">
        <f>COUNTIF(AC$8:AC$51,"Hóa Học")</f>
        <v>0</v>
      </c>
      <c r="AD62" s="49"/>
      <c r="AF62" s="1">
        <f>COUNTIF(AF$8:AF$51,"Hóa Học")</f>
        <v>0</v>
      </c>
      <c r="AG62" s="49"/>
      <c r="AI62" s="1">
        <f>COUNTIF(AI$8:AI$51,"Hóa Học")</f>
        <v>0</v>
      </c>
      <c r="AJ62" s="49"/>
      <c r="AL62" s="1">
        <f>COUNTIF(AL$8:AL$51,"Hóa Học")</f>
        <v>0</v>
      </c>
      <c r="AM62" s="49"/>
      <c r="AO62" s="1">
        <f>COUNTIF(AO$8:AO$51,"Hóa Học")</f>
        <v>0</v>
      </c>
      <c r="AP62" s="49"/>
      <c r="AR62" s="1">
        <f>COUNTIF(AR$8:AR$51,"Hóa Học")</f>
        <v>0</v>
      </c>
      <c r="AS62" s="49"/>
      <c r="AU62" s="1">
        <f>COUNTIF(AU$8:AU$51,"Hóa Học")</f>
        <v>2</v>
      </c>
      <c r="AV62" s="1">
        <v>2</v>
      </c>
      <c r="AX62" s="1">
        <f>COUNTIF(AX$8:AX$51,"Hóa Học")</f>
        <v>0</v>
      </c>
      <c r="BA62" s="1">
        <f>COUNTIF(BA$8:BA$51,"Hóa Học")</f>
        <v>0</v>
      </c>
      <c r="BD62" s="1">
        <f>COUNTIF(BD$8:BD$51,"Hóa Học")</f>
        <v>2</v>
      </c>
      <c r="BE62" s="1">
        <v>2</v>
      </c>
      <c r="BG62" s="1">
        <f>COUNTIF(BG$8:BG$51,"Hóa Học")</f>
        <v>0</v>
      </c>
      <c r="BJ62" s="1">
        <f>COUNTIF(BJ$8:BJ$51,"Hóa Học")</f>
        <v>0</v>
      </c>
      <c r="BM62" s="1">
        <f>COUNTIF(BM$8:BM$51,"Hóa Học")</f>
        <v>0</v>
      </c>
      <c r="BP62" s="1">
        <f>COUNTIF(BP$8:BP$51,"Hóa Học")</f>
        <v>0</v>
      </c>
      <c r="BS62" s="1">
        <f>COUNTIF(BS$8:BS$51,"Hóa Học")</f>
        <v>0</v>
      </c>
      <c r="BV62" s="1">
        <f>COUNTIF(BV$8:BV$51,"Hóa Học")</f>
        <v>0</v>
      </c>
      <c r="BY62" s="1">
        <f>COUNTIF(BY$8:BY$51,"Hóa Học")</f>
        <v>0</v>
      </c>
      <c r="CB62" s="1">
        <f>COUNTIF(CB$8:CB$51,"Hóa Học")</f>
        <v>0</v>
      </c>
      <c r="CE62" s="1">
        <f>COUNTIF(CE$8:CE$51,"Hóa Học")</f>
        <v>0</v>
      </c>
      <c r="CH62" s="1">
        <f>COUNTIF(CH$8:CH$51,"Hóa Học")</f>
        <v>0</v>
      </c>
      <c r="CK62" s="1">
        <f>COUNTIF(CK$8:CK$51,"Hóa Học")</f>
        <v>2</v>
      </c>
      <c r="CL62" s="1">
        <v>2</v>
      </c>
      <c r="CN62" s="1">
        <f>COUNTIF(CN$8:CN$51,"Hóa Học")</f>
        <v>1</v>
      </c>
      <c r="CO62" s="1">
        <v>2</v>
      </c>
      <c r="CQ62" s="1">
        <f>COUNTIF(CQ$8:CQ$51,"Hóa Học")</f>
        <v>0</v>
      </c>
      <c r="CR62" s="49"/>
      <c r="CT62" s="1">
        <f>COUNTIF(CT$8:CT$51,"Hóa Học")</f>
        <v>0</v>
      </c>
      <c r="CU62" s="49"/>
      <c r="CW62" s="1">
        <f>COUNTIF(CW$8:CW$51,"Hóa Học")</f>
        <v>0</v>
      </c>
      <c r="CX62" s="49"/>
      <c r="CZ62" s="1">
        <f>COUNTIF(CZ$8:CZ$51,"Hóa Học")</f>
        <v>0</v>
      </c>
      <c r="DA62" s="49"/>
      <c r="DC62" s="1">
        <f>COUNTIF(DC$8:DC$51,"Hóa Học")</f>
        <v>0</v>
      </c>
      <c r="DD62" s="49"/>
      <c r="DH62" s="49"/>
      <c r="DK62" s="5">
        <f t="shared" si="41"/>
        <v>0</v>
      </c>
      <c r="DL62" s="5">
        <f t="shared" si="42"/>
        <v>0</v>
      </c>
    </row>
    <row r="63" spans="1:171" ht="21" customHeight="1">
      <c r="C63" s="47" t="s">
        <v>199</v>
      </c>
      <c r="E63" s="1">
        <f>COUNTIF(E$8:E$51,"Sinh Học")</f>
        <v>0</v>
      </c>
      <c r="F63" s="49"/>
      <c r="H63" s="1">
        <f>COUNTIF(H$8:H$51,"Sinh Học")</f>
        <v>0</v>
      </c>
      <c r="I63" s="49"/>
      <c r="K63" s="1">
        <f>COUNTIF(K$8:K$51,"Sinh Học")</f>
        <v>0</v>
      </c>
      <c r="L63" s="49"/>
      <c r="N63" s="1">
        <f>COUNTIF(N$8:N$51,"Sinh Học")</f>
        <v>0</v>
      </c>
      <c r="O63" s="49"/>
      <c r="Q63" s="1">
        <f>COUNTIF(Q$8:Q$51,"Sinh Học")</f>
        <v>0</v>
      </c>
      <c r="R63" s="49"/>
      <c r="T63" s="1">
        <f>COUNTIF(T$8:T$51,"Sinh Học")</f>
        <v>0</v>
      </c>
      <c r="U63" s="49"/>
      <c r="W63" s="1">
        <f>COUNTIF(W$8:W$51,"Sinh Học")</f>
        <v>0</v>
      </c>
      <c r="X63" s="49"/>
      <c r="Z63" s="1">
        <f>COUNTIF(Z$8:Z$51,"Sinh Học")</f>
        <v>0</v>
      </c>
      <c r="AA63" s="49"/>
      <c r="AC63" s="1">
        <f>COUNTIF(AC$8:AC$51,"Sinh Học")</f>
        <v>0</v>
      </c>
      <c r="AD63" s="49"/>
      <c r="AF63" s="1">
        <f>COUNTIF(AF$8:AF$51,"Sinh Học")</f>
        <v>0</v>
      </c>
      <c r="AG63" s="49"/>
      <c r="AI63" s="1">
        <f>COUNTIF(AI$8:AI$51,"Sinh Học")</f>
        <v>0</v>
      </c>
      <c r="AJ63" s="49"/>
      <c r="AL63" s="1">
        <f>COUNTIF(AL$8:AL$51,"Sinh Học")</f>
        <v>0</v>
      </c>
      <c r="AM63" s="49"/>
      <c r="AO63" s="1">
        <f>COUNTIF(AO$8:AO$51,"Sinh Học")</f>
        <v>0</v>
      </c>
      <c r="AP63" s="49"/>
      <c r="AR63" s="1">
        <f>COUNTIF(AR$8:AR$51,"Sinh Học")</f>
        <v>0</v>
      </c>
      <c r="AS63" s="49"/>
      <c r="AU63" s="1">
        <f>COUNTIF(AU$8:AU$51,"Sinh Học")</f>
        <v>2</v>
      </c>
      <c r="AV63" s="1">
        <v>2</v>
      </c>
      <c r="AX63" s="1">
        <f>COUNTIF(AX$8:AX$51,"Sinh Học")</f>
        <v>0</v>
      </c>
      <c r="BA63" s="1">
        <f>COUNTIF(BA$8:BA$51,"Sinh Học")</f>
        <v>0</v>
      </c>
      <c r="BD63" s="1">
        <f>COUNTIF(BD$8:BD$51,"Sinh Học")</f>
        <v>2</v>
      </c>
      <c r="BE63" s="1">
        <v>2</v>
      </c>
      <c r="BG63" s="1">
        <f>COUNTIF(BG$8:BG$51,"Sinh Học")</f>
        <v>0</v>
      </c>
      <c r="BJ63" s="1">
        <f>COUNTIF(BJ$8:BJ$51,"Sinh Học")</f>
        <v>0</v>
      </c>
      <c r="BM63" s="1">
        <f>COUNTIF(BM$8:BM$51,"Sinh Học")</f>
        <v>0</v>
      </c>
      <c r="BP63" s="1">
        <f>COUNTIF(BP$8:BP$51,"Sinh Học")</f>
        <v>0</v>
      </c>
      <c r="BS63" s="1">
        <f>COUNTIF(BS$8:BS$51,"Sinh Học")</f>
        <v>0</v>
      </c>
      <c r="BV63" s="1">
        <f>COUNTIF(BV$8:BV$51,"Sinh Học")</f>
        <v>0</v>
      </c>
      <c r="BY63" s="1">
        <f>COUNTIF(BY$8:BY$51,"Sinh Học")</f>
        <v>0</v>
      </c>
      <c r="CB63" s="1">
        <f>COUNTIF(CB$8:CB$51,"Sinh Học")</f>
        <v>0</v>
      </c>
      <c r="CE63" s="1">
        <f>COUNTIF(CE$8:CE$51,"Sinh Học")</f>
        <v>0</v>
      </c>
      <c r="CH63" s="1">
        <f>COUNTIF(CH$8:CH$51,"Sinh Học")</f>
        <v>0</v>
      </c>
      <c r="CK63" s="1">
        <f>COUNTIF(CK$8:CK$51,"Sinh Học")</f>
        <v>0</v>
      </c>
      <c r="CN63" s="1">
        <f>COUNTIF(CN$8:CN$51,"Sinh Học")</f>
        <v>2</v>
      </c>
      <c r="CO63" s="1">
        <v>2</v>
      </c>
      <c r="CQ63" s="1">
        <f>COUNTIF(CQ$8:CQ$51,"Sinh Học")</f>
        <v>0</v>
      </c>
      <c r="CR63" s="49"/>
      <c r="CT63" s="1">
        <f>COUNTIF(CT$8:CT$51,"Sinh Học")</f>
        <v>0</v>
      </c>
      <c r="CU63" s="49"/>
      <c r="CW63" s="1">
        <f>COUNTIF(CW$8:CW$51,"Sinh Học")</f>
        <v>0</v>
      </c>
      <c r="CX63" s="49"/>
      <c r="CZ63" s="1">
        <f>COUNTIF(CZ$8:CZ$51,"Sinh Học")</f>
        <v>0</v>
      </c>
      <c r="DA63" s="49"/>
      <c r="DC63" s="1">
        <f>COUNTIF(DC$8:DC$51,"Sinh Học")</f>
        <v>0</v>
      </c>
      <c r="DD63" s="49"/>
      <c r="DH63" s="49"/>
      <c r="DL63" s="5">
        <f t="shared" si="42"/>
        <v>0</v>
      </c>
    </row>
    <row r="64" spans="1:171" ht="21" customHeight="1">
      <c r="C64" s="47" t="s">
        <v>235</v>
      </c>
      <c r="E64" s="1">
        <f>COUNTIF(E$8:E$51,"GD KT&amp;PL")</f>
        <v>0</v>
      </c>
      <c r="F64" s="49"/>
      <c r="H64" s="1">
        <f>COUNTIF(H$8:H$51,"GD KT&amp;PL")</f>
        <v>0</v>
      </c>
      <c r="I64" s="49"/>
      <c r="K64" s="1">
        <f>COUNTIF(K$8:K$51,"GD KT&amp;PL")</f>
        <v>0</v>
      </c>
      <c r="L64" s="49"/>
      <c r="N64" s="1">
        <f>COUNTIF(N$8:N$51,"GD KT&amp;PL")</f>
        <v>0</v>
      </c>
      <c r="O64" s="49"/>
      <c r="Q64" s="1">
        <f>COUNTIF(Q$8:Q$51,"GD KT&amp;PL")</f>
        <v>0</v>
      </c>
      <c r="R64" s="49"/>
      <c r="T64" s="1">
        <f>COUNTIF(T$8:T$51,"GD KT&amp;PL")</f>
        <v>0</v>
      </c>
      <c r="U64" s="49"/>
      <c r="W64" s="1">
        <f>COUNTIF(W$8:W$51,"GD KT&amp;PL")</f>
        <v>0</v>
      </c>
      <c r="X64" s="49"/>
      <c r="Z64" s="1">
        <f>COUNTIF(Z$8:Z$51,"GD KT&amp;PL")</f>
        <v>0</v>
      </c>
      <c r="AA64" s="49"/>
      <c r="AC64" s="1">
        <f>COUNTIF(AC$8:AC$51,"GD KT&amp;PL")</f>
        <v>0</v>
      </c>
      <c r="AD64" s="49"/>
      <c r="AF64" s="1">
        <f>COUNTIF(AF$8:AF$51,"GD KT&amp;PL")</f>
        <v>0</v>
      </c>
      <c r="AG64" s="49"/>
      <c r="AI64" s="1">
        <f>COUNTIF(AI$8:AI$51,"GD KT&amp;PL")</f>
        <v>0</v>
      </c>
      <c r="AJ64" s="49"/>
      <c r="AL64" s="1">
        <f>COUNTIF(AL$8:AL$51,"GD KT&amp;PL")</f>
        <v>0</v>
      </c>
      <c r="AM64" s="49"/>
      <c r="AO64" s="1">
        <f>COUNTIF(AO$8:AO$51,"GD KT&amp;PL")</f>
        <v>0</v>
      </c>
      <c r="AP64" s="49"/>
      <c r="AR64" s="1">
        <f>COUNTIF(AR$8:AR$51,"GD KT&amp;PL")</f>
        <v>0</v>
      </c>
      <c r="AS64" s="49"/>
      <c r="AU64" s="1">
        <f>COUNTIF(AU$8:AU$51,"GD KT&amp;PL")</f>
        <v>0</v>
      </c>
      <c r="AX64" s="1">
        <f>COUNTIF(AX$8:AX$51,"GD KTPL")</f>
        <v>2</v>
      </c>
      <c r="AY64" s="1">
        <v>2</v>
      </c>
      <c r="BA64" s="1">
        <f>COUNTIF(BA$8:BA$51,"GD KTPL")</f>
        <v>2</v>
      </c>
      <c r="BB64" s="1">
        <v>2</v>
      </c>
      <c r="BD64" s="1">
        <f>COUNTIF(BD$8:BD$51,"GD KT&amp;PL")</f>
        <v>0</v>
      </c>
      <c r="BG64" s="1">
        <f>COUNTIF(BG$8:BG$51,"GD KTPL")</f>
        <v>2</v>
      </c>
      <c r="BH64" s="1">
        <v>2</v>
      </c>
      <c r="BJ64" s="1">
        <f>COUNTIF(BJ$8:BJ$51,"GD KT&amp;PL")</f>
        <v>0</v>
      </c>
      <c r="BM64" s="1">
        <f>COUNTIF(BM$8:BM$51,"GD KT&amp;PL")</f>
        <v>0</v>
      </c>
      <c r="BP64" s="1">
        <f>COUNTIF(BP$8:BP$51,"GD KT&amp;PL")</f>
        <v>0</v>
      </c>
      <c r="BS64" s="1">
        <f>COUNTIF(BS$8:BS$51,"GD KT&amp;PL")</f>
        <v>0</v>
      </c>
      <c r="BV64" s="1">
        <f>COUNTIF(BV$8:BV$51,"GD KT&amp;PL")</f>
        <v>0</v>
      </c>
      <c r="BY64" s="1">
        <f>COUNTIF(BY$8:BY$51,"GD KT&amp;PL")</f>
        <v>0</v>
      </c>
      <c r="CB64" s="1">
        <f>COUNTIF(CB$8:CB$51,"GD KT&amp;PL")</f>
        <v>0</v>
      </c>
      <c r="CE64" s="1">
        <f>COUNTIF(CE$8:CE$51,"GD KT&amp;PL")</f>
        <v>0</v>
      </c>
      <c r="CH64" s="1">
        <f>COUNTIF(CH$8:CH$51,"GD KTPL")</f>
        <v>2</v>
      </c>
      <c r="CI64" s="1">
        <v>2</v>
      </c>
      <c r="CK64" s="1">
        <f>COUNTIF(CK$8:CK$51,"GD KTPL")</f>
        <v>0</v>
      </c>
      <c r="CL64" s="1">
        <v>2</v>
      </c>
      <c r="CN64" s="1">
        <f>COUNTIF(CN$8:CN$51,"GD KT&amp;PL")</f>
        <v>0</v>
      </c>
      <c r="CQ64" s="1">
        <f>COUNTIF(CQ$8:CQ$51,"GD KT&amp;PL")</f>
        <v>0</v>
      </c>
      <c r="CR64" s="49"/>
      <c r="CT64" s="1">
        <f>COUNTIF(CT$8:CT$51,"GD KT&amp;PL")</f>
        <v>0</v>
      </c>
      <c r="CU64" s="49"/>
      <c r="CW64" s="1">
        <f>COUNTIF(CW$8:CW$51,"GD KT&amp;PL")</f>
        <v>0</v>
      </c>
      <c r="CX64" s="49"/>
      <c r="CZ64" s="1">
        <f>COUNTIF(CZ$8:CZ$51,"GD KT&amp;PL")</f>
        <v>0</v>
      </c>
      <c r="DA64" s="49"/>
      <c r="DC64" s="1">
        <f>COUNTIF(DC$8:DC$51,"GD KT&amp;PL")</f>
        <v>0</v>
      </c>
      <c r="DD64" s="49"/>
      <c r="DH64" s="49"/>
      <c r="DL64" s="5">
        <f t="shared" si="42"/>
        <v>0</v>
      </c>
    </row>
    <row r="65" spans="3:116" ht="21" customHeight="1">
      <c r="C65" s="47" t="s">
        <v>236</v>
      </c>
      <c r="E65" s="1">
        <f>COUNTIF(E$8:E$51,"KHTN")</f>
        <v>3</v>
      </c>
      <c r="F65" s="49">
        <v>3</v>
      </c>
      <c r="H65" s="1">
        <f>COUNTIF(H$8:H$51,"KHTN")</f>
        <v>3</v>
      </c>
      <c r="I65" s="49">
        <v>3</v>
      </c>
      <c r="K65" s="1">
        <f>COUNTIF(K$8:K$51,"KHTN")</f>
        <v>3</v>
      </c>
      <c r="L65" s="49">
        <v>3</v>
      </c>
      <c r="N65" s="1">
        <f>COUNTIF(N$8:N$51,"KHTN")</f>
        <v>4</v>
      </c>
      <c r="O65" s="49">
        <v>4</v>
      </c>
      <c r="Q65" s="1">
        <f>COUNTIF(Q$8:Q$51,"KHTN")</f>
        <v>4</v>
      </c>
      <c r="R65" s="49">
        <v>4</v>
      </c>
      <c r="T65" s="1">
        <f>COUNTIF(T$8:T$51,"KHTN")</f>
        <v>4</v>
      </c>
      <c r="U65" s="49">
        <v>4</v>
      </c>
      <c r="W65" s="1">
        <f>COUNTIF(W$8:W$51,"KHTN")</f>
        <v>4</v>
      </c>
      <c r="X65" s="49">
        <v>4</v>
      </c>
      <c r="Z65" s="1">
        <f>COUNTIF(Z$8:Z$51,"KHTN")</f>
        <v>4</v>
      </c>
      <c r="AA65" s="49">
        <v>4</v>
      </c>
      <c r="AC65" s="1">
        <f>COUNTIF(AC$8:AC$51,"KHTN")</f>
        <v>4</v>
      </c>
      <c r="AD65" s="49">
        <v>4</v>
      </c>
      <c r="AF65" s="1">
        <f>COUNTIF(AF$8:AF$51,"KHTN")</f>
        <v>4</v>
      </c>
      <c r="AG65" s="49">
        <v>4</v>
      </c>
      <c r="AI65" s="1">
        <f>COUNTIF(AI$8:AI$51,"KHTN")</f>
        <v>4</v>
      </c>
      <c r="AJ65" s="49">
        <v>4</v>
      </c>
      <c r="AL65" s="1">
        <f>COUNTIF(AL$8:AL$51,"KHTN")</f>
        <v>4</v>
      </c>
      <c r="AM65" s="49">
        <v>4</v>
      </c>
      <c r="AO65" s="1">
        <f>COUNTIF(AO$8:AO$51,"KHTN")</f>
        <v>4</v>
      </c>
      <c r="AP65" s="49">
        <v>4</v>
      </c>
      <c r="AR65" s="1">
        <f>COUNTIF(AR$8:AR$51,"KHTN")</f>
        <v>4</v>
      </c>
      <c r="AS65" s="49">
        <v>4</v>
      </c>
      <c r="AU65" s="1">
        <f>COUNTIF(AU$8:AU$51,"KHTN")</f>
        <v>0</v>
      </c>
      <c r="AX65" s="1">
        <f>COUNTIF(AX$8:AX$51,"KHTN")</f>
        <v>0</v>
      </c>
      <c r="BA65" s="1">
        <f>COUNTIF(BA$8:BA$51,"KHTN")</f>
        <v>0</v>
      </c>
      <c r="BD65" s="1">
        <f>COUNTIF(BD$8:BD$51,"KHTN")</f>
        <v>0</v>
      </c>
      <c r="BG65" s="1">
        <f>COUNTIF(BG$8:BG$51,"KHTN")</f>
        <v>0</v>
      </c>
      <c r="BJ65" s="1">
        <f>COUNTIF(BJ$8:BJ$51,"KHTN")</f>
        <v>3</v>
      </c>
      <c r="BK65" s="1">
        <v>3</v>
      </c>
      <c r="BM65" s="1">
        <f>COUNTIF(BM$8:BM$51,"KHTN")</f>
        <v>3</v>
      </c>
      <c r="BN65" s="1">
        <v>3</v>
      </c>
      <c r="BP65" s="1">
        <f>COUNTIF(BP$8:BP$51,"KHTN")</f>
        <v>3</v>
      </c>
      <c r="BQ65" s="1">
        <v>3</v>
      </c>
      <c r="BS65" s="1">
        <f>COUNTIF(BS$8:BS$51,"KHTN")</f>
        <v>3</v>
      </c>
      <c r="BT65" s="1">
        <v>3</v>
      </c>
      <c r="BV65" s="1">
        <f>COUNTIF(BV$8:BV$51,"KHTN")</f>
        <v>3</v>
      </c>
      <c r="BW65" s="1">
        <v>3</v>
      </c>
      <c r="BY65" s="1">
        <f>COUNTIF(BY$8:BY$51,"KHTN")</f>
        <v>3</v>
      </c>
      <c r="BZ65" s="1">
        <v>3</v>
      </c>
      <c r="CB65" s="1">
        <f>COUNTIF(CB$8:CB$51,"KHTN")</f>
        <v>3</v>
      </c>
      <c r="CC65" s="1">
        <v>3</v>
      </c>
      <c r="CE65" s="1">
        <f>COUNTIF(CE$8:CE$51,"KHTN")</f>
        <v>3</v>
      </c>
      <c r="CF65" s="1">
        <v>3</v>
      </c>
      <c r="CH65" s="1">
        <f>COUNTIF(CH$8:CH$51,"KHTN")</f>
        <v>0</v>
      </c>
      <c r="CK65" s="1">
        <f>COUNTIF(CK$8:CK$51,"KHTN")</f>
        <v>0</v>
      </c>
      <c r="CN65" s="1">
        <f>COUNTIF(CN$8:CN$51,"KHTN")</f>
        <v>0</v>
      </c>
      <c r="CQ65" s="1">
        <f>COUNTIF(CQ$8:CQ$51,"KHTN")</f>
        <v>3</v>
      </c>
      <c r="CR65" s="49">
        <v>3</v>
      </c>
      <c r="CT65" s="1">
        <f>COUNTIF(CT$8:CT$51,"KHTN")</f>
        <v>3</v>
      </c>
      <c r="CU65" s="49">
        <v>3</v>
      </c>
      <c r="CW65" s="1">
        <f>COUNTIF(CW$8:CW$51,"KHTN")</f>
        <v>4</v>
      </c>
      <c r="CX65" s="49">
        <v>4</v>
      </c>
      <c r="CZ65" s="1">
        <f>COUNTIF(CZ$8:CZ$51,"KHTN")</f>
        <v>4</v>
      </c>
      <c r="DA65" s="49">
        <v>4</v>
      </c>
      <c r="DC65" s="1">
        <f>COUNTIF(DC$8:DC$51,"KHTN")</f>
        <v>4</v>
      </c>
      <c r="DD65" s="49">
        <v>4</v>
      </c>
      <c r="DH65" s="49">
        <v>4</v>
      </c>
      <c r="DL65" s="5">
        <f t="shared" si="42"/>
        <v>0</v>
      </c>
    </row>
    <row r="66" spans="3:116" ht="21" customHeight="1">
      <c r="C66" s="47" t="s">
        <v>237</v>
      </c>
      <c r="E66" s="1">
        <f>COUNTIF(E$8:E$51,"Lịch Sử")</f>
        <v>1</v>
      </c>
      <c r="F66" s="49">
        <v>1</v>
      </c>
      <c r="H66" s="1">
        <f>COUNTIF(H$8:H$51,"Lịch Sử")</f>
        <v>1</v>
      </c>
      <c r="I66" s="49">
        <v>1</v>
      </c>
      <c r="K66" s="1">
        <f>COUNTIF(K$8:K$51,"Lịch Sử")</f>
        <v>1</v>
      </c>
      <c r="L66" s="49">
        <v>1</v>
      </c>
      <c r="N66" s="1">
        <f>COUNTIF(N$8:N$51,"Lịch Sử")</f>
        <v>1</v>
      </c>
      <c r="O66" s="49">
        <v>1</v>
      </c>
      <c r="Q66" s="1">
        <f>COUNTIF(Q$8:Q$51,"Lịch Sử")</f>
        <v>1</v>
      </c>
      <c r="R66" s="49">
        <v>1</v>
      </c>
      <c r="T66" s="1">
        <f>COUNTIF(T$8:T$51,"Lịch Sử")</f>
        <v>1</v>
      </c>
      <c r="U66" s="49">
        <v>1</v>
      </c>
      <c r="W66" s="1">
        <f>COUNTIF(W$8:W$51,"Lịch Sử")</f>
        <v>1</v>
      </c>
      <c r="X66" s="49">
        <v>1</v>
      </c>
      <c r="Z66" s="1">
        <f>COUNTIF(Z$8:Z$51,"Lịch Sử")</f>
        <v>1</v>
      </c>
      <c r="AA66" s="49">
        <v>1</v>
      </c>
      <c r="AC66" s="1">
        <f>COUNTIF(AC$8:AC$51,"Lịch Sử")</f>
        <v>1</v>
      </c>
      <c r="AD66" s="49">
        <v>1</v>
      </c>
      <c r="AF66" s="1">
        <f>COUNTIF(AF$8:AF$51,"Lịch Sử")</f>
        <v>1</v>
      </c>
      <c r="AG66" s="49">
        <v>1</v>
      </c>
      <c r="AI66" s="1">
        <f>COUNTIF(AI$8:AI$51,"Lịch Sử")</f>
        <v>1</v>
      </c>
      <c r="AJ66" s="49">
        <v>1</v>
      </c>
      <c r="AL66" s="1">
        <f>COUNTIF(AL$8:AL$51,"Lịch Sử")</f>
        <v>1</v>
      </c>
      <c r="AM66" s="49">
        <v>1</v>
      </c>
      <c r="AO66" s="1">
        <f>COUNTIF(AO$8:AO$51,"Lịch Sử")</f>
        <v>1</v>
      </c>
      <c r="AP66" s="49">
        <v>1</v>
      </c>
      <c r="AR66" s="1">
        <f>COUNTIF(AR$8:AR$51,"Lịch Sử")</f>
        <v>1</v>
      </c>
      <c r="AS66" s="49">
        <v>1</v>
      </c>
      <c r="AU66" s="1">
        <f>COUNTIF(AU$8:AU$51,"Lịch Sử")</f>
        <v>2</v>
      </c>
      <c r="AV66" s="1">
        <v>2</v>
      </c>
      <c r="AX66" s="1">
        <f>COUNTIF(AX$8:AX$51,"Lịch Sử")</f>
        <v>2</v>
      </c>
      <c r="AY66" s="1">
        <v>2</v>
      </c>
      <c r="BA66" s="1">
        <f>COUNTIF(BA$8:BA$51,"Lịch Sử")</f>
        <v>2</v>
      </c>
      <c r="BB66" s="1">
        <v>2</v>
      </c>
      <c r="BD66" s="1">
        <f>COUNTIF(BD$8:BD$51,"Lịch Sử")</f>
        <v>2</v>
      </c>
      <c r="BE66" s="1">
        <v>2</v>
      </c>
      <c r="BG66" s="1">
        <f>COUNTIF(BG$8:BG$51,"Lịch Sử")</f>
        <v>2</v>
      </c>
      <c r="BH66" s="1">
        <v>2</v>
      </c>
      <c r="BJ66" s="1">
        <f>COUNTIF(BJ$8:BJ$51,"Lịch Sử")</f>
        <v>1</v>
      </c>
      <c r="BK66" s="1">
        <v>1</v>
      </c>
      <c r="BM66" s="1">
        <f>COUNTIF(BM$8:BM$51,"Lịch Sử")</f>
        <v>1</v>
      </c>
      <c r="BN66" s="1">
        <v>1</v>
      </c>
      <c r="BP66" s="1">
        <f>COUNTIF(BP$8:BP$51,"Lịch Sử")</f>
        <v>1</v>
      </c>
      <c r="BQ66" s="1">
        <v>1</v>
      </c>
      <c r="BS66" s="1">
        <f>COUNTIF(BS$8:BS$51,"Lịch Sử")</f>
        <v>1</v>
      </c>
      <c r="BT66" s="1">
        <v>1</v>
      </c>
      <c r="BV66" s="1">
        <f>COUNTIF(BV$8:BV$51,"Lịch Sử")</f>
        <v>1</v>
      </c>
      <c r="BW66" s="1">
        <v>1</v>
      </c>
      <c r="BY66" s="1">
        <f>COUNTIF(BY$8:BY$51,"Lịch Sử")</f>
        <v>1</v>
      </c>
      <c r="BZ66" s="1">
        <v>1</v>
      </c>
      <c r="CB66" s="1">
        <f>COUNTIF(CB$8:CB$51,"Lịch Sử")</f>
        <v>1</v>
      </c>
      <c r="CC66" s="1">
        <v>1</v>
      </c>
      <c r="CE66" s="1">
        <f>COUNTIF(CE$8:CE$51,"Lịch Sử")</f>
        <v>1</v>
      </c>
      <c r="CF66" s="1">
        <v>1</v>
      </c>
      <c r="CH66" s="1">
        <f>COUNTIF(CH$8:CH$51,"Lịch Sử")</f>
        <v>2</v>
      </c>
      <c r="CI66" s="1">
        <v>2</v>
      </c>
      <c r="CK66" s="1">
        <f>COUNTIF(CK$8:CK$51,"Lịch Sử")</f>
        <v>2</v>
      </c>
      <c r="CL66" s="1">
        <v>2</v>
      </c>
      <c r="CN66" s="1">
        <f>COUNTIF(CN$8:CN$51,"Lịch Sử")</f>
        <v>2</v>
      </c>
      <c r="CO66" s="1">
        <v>2</v>
      </c>
      <c r="CQ66" s="1">
        <f>COUNTIF(CQ$8:CQ$51,"Lịch Sử")</f>
        <v>1</v>
      </c>
      <c r="CR66" s="49">
        <v>1</v>
      </c>
      <c r="CT66" s="1">
        <f>COUNTIF(CT$8:CT$51,"Lịch Sử")</f>
        <v>1</v>
      </c>
      <c r="CU66" s="49">
        <v>1</v>
      </c>
      <c r="CW66" s="1">
        <f>COUNTIF(CW$8:CW$51,"Lịch Sử")</f>
        <v>1</v>
      </c>
      <c r="CX66" s="49">
        <v>1</v>
      </c>
      <c r="CZ66" s="1">
        <f>COUNTIF(CZ$8:CZ$51,"Lịch Sử")</f>
        <v>1</v>
      </c>
      <c r="DA66" s="49">
        <v>1</v>
      </c>
      <c r="DC66" s="1">
        <f>COUNTIF(DC$8:DC$51,"Lịch Sử")</f>
        <v>1</v>
      </c>
      <c r="DD66" s="49">
        <v>1</v>
      </c>
      <c r="DH66" s="49">
        <v>1</v>
      </c>
      <c r="DL66" s="5">
        <f t="shared" si="42"/>
        <v>0</v>
      </c>
    </row>
    <row r="67" spans="3:116" ht="21" customHeight="1">
      <c r="C67" s="47" t="s">
        <v>192</v>
      </c>
      <c r="E67" s="1">
        <f>COUNTIF(E$8:E$51,"Địa Lí")</f>
        <v>1</v>
      </c>
      <c r="F67" s="49">
        <v>1</v>
      </c>
      <c r="H67" s="1">
        <f>COUNTIF(H$8:H$51,"Địa Lí")</f>
        <v>1</v>
      </c>
      <c r="I67" s="49">
        <v>1</v>
      </c>
      <c r="K67" s="1">
        <f>COUNTIF(K$8:K$51,"Địa Lí")</f>
        <v>1</v>
      </c>
      <c r="L67" s="49">
        <v>1</v>
      </c>
      <c r="N67" s="1">
        <f>COUNTIF(N$8:N$51,"Địa Lí")</f>
        <v>1</v>
      </c>
      <c r="O67" s="49">
        <v>1</v>
      </c>
      <c r="Q67" s="1">
        <f>COUNTIF(Q$8:Q$51,"Địa Lí")</f>
        <v>1</v>
      </c>
      <c r="R67" s="49">
        <v>1</v>
      </c>
      <c r="T67" s="1">
        <f>COUNTIF(T$8:T$51,"Địa Lí")</f>
        <v>1</v>
      </c>
      <c r="U67" s="49">
        <v>1</v>
      </c>
      <c r="W67" s="1">
        <f>COUNTIF(W$8:W$51,"Địa Lí")</f>
        <v>1</v>
      </c>
      <c r="X67" s="49">
        <v>1</v>
      </c>
      <c r="Z67" s="1">
        <f>COUNTIF(Z$8:Z$51,"Địa Lí")</f>
        <v>1</v>
      </c>
      <c r="AA67" s="49">
        <v>1</v>
      </c>
      <c r="AC67" s="1">
        <f>COUNTIF(AC$8:AC$51,"Địa Lí")</f>
        <v>1</v>
      </c>
      <c r="AD67" s="49">
        <v>1</v>
      </c>
      <c r="AF67" s="1">
        <f>COUNTIF(AF$8:AF$51,"Địa Lí")</f>
        <v>1</v>
      </c>
      <c r="AG67" s="49">
        <v>1</v>
      </c>
      <c r="AI67" s="1">
        <f>COUNTIF(AI$8:AI$51,"Địa Lí")</f>
        <v>1</v>
      </c>
      <c r="AJ67" s="49">
        <v>1</v>
      </c>
      <c r="AL67" s="1">
        <f>COUNTIF(AL$8:AL$51,"Địa Lí")</f>
        <v>1</v>
      </c>
      <c r="AM67" s="49">
        <v>1</v>
      </c>
      <c r="AO67" s="1">
        <f>COUNTIF(AO$8:AO$51,"Địa Lí")</f>
        <v>1</v>
      </c>
      <c r="AP67" s="49">
        <v>1</v>
      </c>
      <c r="AR67" s="1">
        <f>COUNTIF(AR$8:AR$51,"Địa Lí")</f>
        <v>1</v>
      </c>
      <c r="AS67" s="49">
        <v>1</v>
      </c>
      <c r="AU67" s="1">
        <f>COUNTIF(AU$8:AU$51,"Địa Lí")</f>
        <v>0</v>
      </c>
      <c r="AX67" s="1">
        <f>COUNTIF(AX$8:AX$51,"Địa Lí")</f>
        <v>2</v>
      </c>
      <c r="AY67" s="1">
        <v>2</v>
      </c>
      <c r="BA67" s="1">
        <f>COUNTIF(BA$8:BA$51,"Địa Lí")</f>
        <v>2</v>
      </c>
      <c r="BB67" s="1">
        <v>2</v>
      </c>
      <c r="BD67" s="1">
        <f>COUNTIF(BD$8:BD$51,"Địa Lí")</f>
        <v>0</v>
      </c>
      <c r="BG67" s="1">
        <f>COUNTIF(BG$8:BG$51,"Địa Lí")</f>
        <v>2</v>
      </c>
      <c r="BH67" s="1">
        <v>2</v>
      </c>
      <c r="BJ67" s="1">
        <f>COUNTIF(BJ$8:BJ$51,"Địa Lí")</f>
        <v>1</v>
      </c>
      <c r="BK67" s="1">
        <v>1</v>
      </c>
      <c r="BM67" s="1">
        <f>COUNTIF(BM$8:BM$51,"Địa Lí")</f>
        <v>1</v>
      </c>
      <c r="BN67" s="1">
        <v>1</v>
      </c>
      <c r="BP67" s="1">
        <f>COUNTIF(BP$8:BP$51,"Địa Lí")</f>
        <v>1</v>
      </c>
      <c r="BQ67" s="1">
        <v>1</v>
      </c>
      <c r="BS67" s="1">
        <f>COUNTIF(BS$8:BS$51,"Địa Lí")</f>
        <v>1</v>
      </c>
      <c r="BT67" s="1">
        <v>1</v>
      </c>
      <c r="BV67" s="1">
        <f>COUNTIF(BV$8:BV$51,"Địa Lí")</f>
        <v>1</v>
      </c>
      <c r="BW67" s="1">
        <v>1</v>
      </c>
      <c r="BY67" s="1">
        <f>COUNTIF(BY$8:BY$51,"Địa Lí")</f>
        <v>1</v>
      </c>
      <c r="BZ67" s="1">
        <v>1</v>
      </c>
      <c r="CB67" s="1">
        <f>COUNTIF(CB$8:CB$51,"Địa Lí")</f>
        <v>1</v>
      </c>
      <c r="CC67" s="1">
        <v>1</v>
      </c>
      <c r="CE67" s="1">
        <f>COUNTIF(CE$8:CE$51,"Địa Lí")</f>
        <v>1</v>
      </c>
      <c r="CF67" s="1">
        <v>1</v>
      </c>
      <c r="CH67" s="1">
        <f>COUNTIF(CH$8:CH$51,"Địa Lí")</f>
        <v>2</v>
      </c>
      <c r="CI67" s="1">
        <v>2</v>
      </c>
      <c r="CK67" s="1">
        <f>COUNTIF(CK$8:CK$51,"Địa Lí")</f>
        <v>0</v>
      </c>
      <c r="CN67" s="1">
        <f>COUNTIF(CN$8:CN$51,"Địa Lí")</f>
        <v>0</v>
      </c>
      <c r="CQ67" s="1">
        <f>COUNTIF(CQ$8:CQ$51,"Địa Lí")</f>
        <v>1</v>
      </c>
      <c r="CR67" s="49">
        <v>1</v>
      </c>
      <c r="CT67" s="1">
        <f>COUNTIF(CT$8:CT$51,"Địa Lí")</f>
        <v>1</v>
      </c>
      <c r="CU67" s="49">
        <v>1</v>
      </c>
      <c r="CW67" s="1">
        <f>COUNTIF(CW$8:CW$51,"Địa Lí")</f>
        <v>0</v>
      </c>
      <c r="CX67" s="49">
        <v>1</v>
      </c>
      <c r="CZ67" s="1">
        <f>COUNTIF(CZ$8:CZ$51,"Địa Lí")</f>
        <v>1</v>
      </c>
      <c r="DA67" s="49">
        <v>1</v>
      </c>
      <c r="DC67" s="1">
        <f>COUNTIF(DC$8:DC$51,"Địa Lí")</f>
        <v>1</v>
      </c>
      <c r="DD67" s="49">
        <v>1</v>
      </c>
      <c r="DH67" s="49">
        <v>1</v>
      </c>
      <c r="DL67" s="5">
        <f t="shared" si="42"/>
        <v>0</v>
      </c>
    </row>
    <row r="68" spans="3:116" ht="21" customHeight="1">
      <c r="C68" s="47" t="s">
        <v>238</v>
      </c>
      <c r="E68" s="1">
        <f>COUNTIF(E$8:E$51,"GDCD")</f>
        <v>0</v>
      </c>
      <c r="F68" s="49">
        <v>0.5</v>
      </c>
      <c r="H68" s="1">
        <f>COUNTIF(H$8:H$51,"GDCD")</f>
        <v>0</v>
      </c>
      <c r="I68" s="49">
        <v>0.5</v>
      </c>
      <c r="K68" s="1">
        <f>COUNTIF(K$8:K$51,"GDCD")</f>
        <v>0</v>
      </c>
      <c r="L68" s="49">
        <v>0.5</v>
      </c>
      <c r="N68" s="1">
        <f>COUNTIF(N$8:N$51,"GDCD")</f>
        <v>0</v>
      </c>
      <c r="O68" s="49">
        <v>0.5</v>
      </c>
      <c r="Q68" s="1">
        <f>COUNTIF(Q$8:Q$51,"GDCD")</f>
        <v>0</v>
      </c>
      <c r="R68" s="49">
        <v>0.5</v>
      </c>
      <c r="T68" s="1">
        <f>COUNTIF(T$8:T$51,"GDCD")</f>
        <v>0</v>
      </c>
      <c r="U68" s="49">
        <v>0.5</v>
      </c>
      <c r="W68" s="1">
        <f>COUNTIF(W$8:W$51,"GDCD")</f>
        <v>0</v>
      </c>
      <c r="X68" s="49">
        <v>0.5</v>
      </c>
      <c r="Z68" s="1">
        <f>COUNTIF(Z$8:Z$51,"GDCD")</f>
        <v>0</v>
      </c>
      <c r="AA68" s="49">
        <v>0.5</v>
      </c>
      <c r="AC68" s="1">
        <f>COUNTIF(AC$8:AC$51,"GDCD")</f>
        <v>0</v>
      </c>
      <c r="AD68" s="49">
        <v>0.5</v>
      </c>
      <c r="AF68" s="1">
        <f>COUNTIF(AF$8:AF$51,"GDCD")</f>
        <v>0</v>
      </c>
      <c r="AG68" s="49">
        <v>0.5</v>
      </c>
      <c r="AI68" s="1">
        <f>COUNTIF(AI$8:AI$51,"GDCD")</f>
        <v>0</v>
      </c>
      <c r="AJ68" s="49">
        <v>0.5</v>
      </c>
      <c r="AL68" s="1">
        <f>COUNTIF(AL$8:AL$51,"GDCD")</f>
        <v>0</v>
      </c>
      <c r="AM68" s="49">
        <v>0.5</v>
      </c>
      <c r="AO68" s="1">
        <f>COUNTIF(AO$8:AO$51,"GDCD")</f>
        <v>0</v>
      </c>
      <c r="AP68" s="49">
        <v>0.5</v>
      </c>
      <c r="AR68" s="1">
        <f>COUNTIF(AR$8:AR$51,"GDCD")</f>
        <v>0</v>
      </c>
      <c r="AS68" s="49">
        <v>0.5</v>
      </c>
      <c r="AU68" s="1">
        <f>COUNTIF(AU$8:AU$51,"GDCD")</f>
        <v>0</v>
      </c>
      <c r="AX68" s="1">
        <f>COUNTIF(AX$8:AX$51,"GDCD")</f>
        <v>0</v>
      </c>
      <c r="BA68" s="1">
        <f>COUNTIF(BA$8:BA$51,"GDCD")</f>
        <v>0</v>
      </c>
      <c r="BD68" s="1">
        <f>COUNTIF(BD$8:BD$51,"GDCD")</f>
        <v>0</v>
      </c>
      <c r="BG68" s="1">
        <f>COUNTIF(BG$8:BG$51,"GDCD")</f>
        <v>0</v>
      </c>
      <c r="BJ68" s="1">
        <f>COUNTIF(BJ$8:BJ$51,"GDCD")</f>
        <v>0</v>
      </c>
      <c r="BK68" s="1">
        <v>0.5</v>
      </c>
      <c r="BM68" s="1">
        <f>COUNTIF(BM$8:BM$51,"GDCD")</f>
        <v>0</v>
      </c>
      <c r="BN68" s="1">
        <v>0.5</v>
      </c>
      <c r="BP68" s="1">
        <f>COUNTIF(BP$8:BP$51,"GDCD")</f>
        <v>0</v>
      </c>
      <c r="BQ68" s="1">
        <v>0.5</v>
      </c>
      <c r="BS68" s="1">
        <f>COUNTIF(BS$8:BS$51,"GDCD")</f>
        <v>0</v>
      </c>
      <c r="BT68" s="1">
        <v>0.5</v>
      </c>
      <c r="BV68" s="1">
        <f>COUNTIF(BV$8:BV$51,"GDCD")</f>
        <v>0</v>
      </c>
      <c r="BW68" s="1">
        <v>0.5</v>
      </c>
      <c r="BY68" s="1">
        <f>COUNTIF(BY$8:BY$51,"GDCD")</f>
        <v>0</v>
      </c>
      <c r="BZ68" s="1">
        <v>0.5</v>
      </c>
      <c r="CB68" s="1">
        <f>COUNTIF(CB$8:CB$51,"GDCD")</f>
        <v>0</v>
      </c>
      <c r="CC68" s="1">
        <v>0.5</v>
      </c>
      <c r="CE68" s="1">
        <f>COUNTIF(CE$8:CE$51,"GDCD")</f>
        <v>0</v>
      </c>
      <c r="CF68" s="1">
        <v>0.5</v>
      </c>
      <c r="CH68" s="1">
        <f>COUNTIF(CH$8:CH$51,"GDCD")</f>
        <v>0</v>
      </c>
      <c r="CK68" s="1">
        <f>COUNTIF(CK$8:CK$51,"GDCD")</f>
        <v>0</v>
      </c>
      <c r="CN68" s="1">
        <f>COUNTIF(CN$8:CN$51,"GDCD")</f>
        <v>0</v>
      </c>
      <c r="CQ68" s="1">
        <f>COUNTIF(CQ$8:CQ$51,"GDCD")</f>
        <v>0</v>
      </c>
      <c r="CR68" s="49">
        <v>0.5</v>
      </c>
      <c r="CT68" s="1">
        <f>COUNTIF(CT$8:CT$51,"GDCD")</f>
        <v>0</v>
      </c>
      <c r="CU68" s="49">
        <v>0.5</v>
      </c>
      <c r="CW68" s="1">
        <f>COUNTIF(CW$8:CW$51,"GDCD")</f>
        <v>0</v>
      </c>
      <c r="CX68" s="49">
        <v>0.5</v>
      </c>
      <c r="CZ68" s="1">
        <f>COUNTIF(CZ$8:CZ$51,"GDCD")</f>
        <v>0</v>
      </c>
      <c r="DA68" s="49">
        <v>0.5</v>
      </c>
      <c r="DC68" s="1">
        <f>COUNTIF(DC$8:DC$51,"GDCD")</f>
        <v>0</v>
      </c>
      <c r="DD68" s="49">
        <v>0.5</v>
      </c>
      <c r="DH68" s="49">
        <v>0.5</v>
      </c>
      <c r="DL68" s="5">
        <f t="shared" si="42"/>
        <v>0</v>
      </c>
    </row>
    <row r="69" spans="3:116" ht="21" customHeight="1">
      <c r="C69" s="47" t="s">
        <v>239</v>
      </c>
      <c r="E69" s="1">
        <f>COUNTIF(E$8:E$51,"Thể Dục")</f>
        <v>2</v>
      </c>
      <c r="F69" s="49">
        <v>2</v>
      </c>
      <c r="H69" s="1">
        <f>COUNTIF(H$8:H$51,"Thể Dục")</f>
        <v>2</v>
      </c>
      <c r="I69" s="49">
        <v>2</v>
      </c>
      <c r="K69" s="1">
        <f>COUNTIF(K$8:K$51,"Thể Dục")</f>
        <v>2</v>
      </c>
      <c r="L69" s="49">
        <v>2</v>
      </c>
      <c r="N69" s="1">
        <f>COUNTIF(N$8:N$51,"Thể Dục")</f>
        <v>2</v>
      </c>
      <c r="O69" s="49">
        <v>2</v>
      </c>
      <c r="Q69" s="1">
        <f>COUNTIF(Q$8:Q$51,"Thể Dục")</f>
        <v>2</v>
      </c>
      <c r="R69" s="49">
        <v>2</v>
      </c>
      <c r="T69" s="1">
        <f>COUNTIF(T$8:T$51,"Thể Dục")</f>
        <v>2</v>
      </c>
      <c r="U69" s="49">
        <v>2</v>
      </c>
      <c r="W69" s="1">
        <f>COUNTIF(W$8:W$51,"Thể Dục")</f>
        <v>2</v>
      </c>
      <c r="X69" s="49">
        <v>2</v>
      </c>
      <c r="Z69" s="1">
        <f>COUNTIF(Z$8:Z$51,"Thể Dục")</f>
        <v>2</v>
      </c>
      <c r="AA69" s="49">
        <v>2</v>
      </c>
      <c r="AC69" s="1">
        <f>COUNTIF(AC$8:AC$51,"Thể Dục")</f>
        <v>2</v>
      </c>
      <c r="AD69" s="49">
        <v>2</v>
      </c>
      <c r="AF69" s="1">
        <f>COUNTIF(AF$8:AF$51,"Thể Dục")</f>
        <v>2</v>
      </c>
      <c r="AG69" s="49">
        <v>2</v>
      </c>
      <c r="AI69" s="1">
        <f>COUNTIF(AI$8:AI$51,"Thể Dục")</f>
        <v>2</v>
      </c>
      <c r="AJ69" s="49">
        <v>2</v>
      </c>
      <c r="AL69" s="1">
        <f>COUNTIF(AL$8:AL$51,"Thể Dục")</f>
        <v>2</v>
      </c>
      <c r="AM69" s="49">
        <v>2</v>
      </c>
      <c r="AO69" s="1">
        <f>COUNTIF(AO$8:AO$51,"Thể Dục")</f>
        <v>2</v>
      </c>
      <c r="AP69" s="49">
        <v>2</v>
      </c>
      <c r="AR69" s="1">
        <f>COUNTIF(AR$8:AR$51,"Thể Dục")</f>
        <v>2</v>
      </c>
      <c r="AS69" s="49">
        <v>2</v>
      </c>
      <c r="AU69" s="1">
        <f>COUNTIF(AU$8:AU$51,"Thể Dục")</f>
        <v>2</v>
      </c>
      <c r="AV69" s="1">
        <v>2</v>
      </c>
      <c r="AX69" s="1">
        <f>COUNTIF(AX$8:AX$51,"Thể Dục")</f>
        <v>2</v>
      </c>
      <c r="AY69" s="1">
        <v>2</v>
      </c>
      <c r="BA69" s="1">
        <f>COUNTIF(BA$8:BA$51,"Thể Dục")</f>
        <v>2</v>
      </c>
      <c r="BB69" s="1">
        <v>2</v>
      </c>
      <c r="BD69" s="1">
        <f>COUNTIF(BD$8:BD$51,"Thể Dục")</f>
        <v>2</v>
      </c>
      <c r="BE69" s="1">
        <v>2</v>
      </c>
      <c r="BG69" s="1">
        <f>COUNTIF(BG$8:BG$51,"Thể Dục")</f>
        <v>2</v>
      </c>
      <c r="BH69" s="1">
        <v>2</v>
      </c>
      <c r="BJ69" s="1">
        <f>COUNTIF(BJ$8:BJ$51,"Thể Dục")</f>
        <v>2</v>
      </c>
      <c r="BK69" s="1">
        <v>2</v>
      </c>
      <c r="BM69" s="1">
        <f>COUNTIF(BM$8:BM$51,"Thể Dục")</f>
        <v>2</v>
      </c>
      <c r="BN69" s="1">
        <v>2</v>
      </c>
      <c r="BP69" s="1">
        <f>COUNTIF(BP$8:BP$51,"Thể Dục")</f>
        <v>2</v>
      </c>
      <c r="BQ69" s="1">
        <v>2</v>
      </c>
      <c r="BS69" s="1">
        <f>COUNTIF(BS$8:BS$51,"Thể Dục")</f>
        <v>2</v>
      </c>
      <c r="BT69" s="1">
        <v>2</v>
      </c>
      <c r="BV69" s="1">
        <f>COUNTIF(BV$8:BV$51,"Thể Dục")</f>
        <v>2</v>
      </c>
      <c r="BW69" s="1">
        <v>2</v>
      </c>
      <c r="BY69" s="1">
        <f>COUNTIF(BY$8:BY$51,"Thể Dục")</f>
        <v>2</v>
      </c>
      <c r="BZ69" s="1">
        <v>2</v>
      </c>
      <c r="CB69" s="1">
        <f>COUNTIF(CB$8:CB$51,"Thể Dục")</f>
        <v>2</v>
      </c>
      <c r="CC69" s="1">
        <v>2</v>
      </c>
      <c r="CE69" s="1">
        <f>COUNTIF(CE$8:CE$51,"Thể Dục")</f>
        <v>2</v>
      </c>
      <c r="CF69" s="1">
        <v>2</v>
      </c>
      <c r="CH69" s="1">
        <f>COUNTIF(CH$8:CH$51,"Thể Dục")</f>
        <v>2</v>
      </c>
      <c r="CI69" s="1">
        <v>2</v>
      </c>
      <c r="CK69" s="1">
        <f>COUNTIF(CK$8:CK$51,"Thể Dục")</f>
        <v>2</v>
      </c>
      <c r="CL69" s="1">
        <v>2</v>
      </c>
      <c r="CN69" s="1">
        <f>COUNTIF(CN$8:CN$51,"Thể Dục")</f>
        <v>2</v>
      </c>
      <c r="CO69" s="1">
        <v>2</v>
      </c>
      <c r="CQ69" s="1">
        <f>COUNTIF(CQ$8:CQ$51,"Thể Dục")</f>
        <v>0</v>
      </c>
      <c r="CR69" s="49">
        <v>2</v>
      </c>
      <c r="CT69" s="1">
        <f>COUNTIF(CT$8:CT$51,"Thể Dục")</f>
        <v>0</v>
      </c>
      <c r="CU69" s="49">
        <v>2</v>
      </c>
      <c r="CW69" s="1">
        <f>COUNTIF(CW$8:CW$51,"Thể Dục")</f>
        <v>0</v>
      </c>
      <c r="CX69" s="49">
        <v>2</v>
      </c>
      <c r="CZ69" s="1">
        <f>COUNTIF(CZ$8:CZ$51,"Thể Dục")</f>
        <v>0</v>
      </c>
      <c r="DA69" s="49">
        <v>2</v>
      </c>
      <c r="DC69" s="1">
        <f>COUNTIF(DC$8:DC$51,"Thể Dục")</f>
        <v>0</v>
      </c>
      <c r="DD69" s="49">
        <v>2</v>
      </c>
      <c r="DH69" s="49">
        <v>2</v>
      </c>
      <c r="DL69" s="5">
        <f t="shared" si="42"/>
        <v>0</v>
      </c>
    </row>
    <row r="70" spans="3:116" ht="21" customHeight="1">
      <c r="C70" s="47" t="s">
        <v>183</v>
      </c>
      <c r="E70" s="1">
        <f>COUNTIF(E$8:E$51,"CXXH")</f>
        <v>0</v>
      </c>
      <c r="F70" s="49">
        <v>1</v>
      </c>
      <c r="H70" s="1">
        <f>COUNTIF(H$8:H$51,"CXXH")</f>
        <v>0</v>
      </c>
      <c r="I70" s="49">
        <v>1</v>
      </c>
      <c r="K70" s="1">
        <f>COUNTIF(K$8:K$51,"CXXH")</f>
        <v>0</v>
      </c>
      <c r="L70" s="49">
        <v>1</v>
      </c>
      <c r="N70" s="1">
        <f>COUNTIF(N$8:N$51,"CXXH")</f>
        <v>0</v>
      </c>
      <c r="O70" s="49">
        <v>1</v>
      </c>
      <c r="Q70" s="1">
        <f>COUNTIF(Q$8:Q$51,"CXXH")</f>
        <v>0</v>
      </c>
      <c r="R70" s="49">
        <v>1</v>
      </c>
      <c r="T70" s="1">
        <f>COUNTIF(T$8:T$51,"CXXH")</f>
        <v>0</v>
      </c>
      <c r="U70" s="49">
        <v>1</v>
      </c>
      <c r="W70" s="1">
        <f>COUNTIF(W$8:W$51,"CXXH")</f>
        <v>0</v>
      </c>
      <c r="X70" s="49">
        <v>1</v>
      </c>
      <c r="Z70" s="1">
        <f>COUNTIF(Z$8:Z$51,"CXXH")</f>
        <v>0</v>
      </c>
      <c r="AA70" s="49">
        <v>1</v>
      </c>
      <c r="AC70" s="1">
        <f>COUNTIF(AC$8:AC$51,"CXXH")</f>
        <v>0</v>
      </c>
      <c r="AD70" s="49">
        <v>1</v>
      </c>
      <c r="AF70" s="1">
        <f>COUNTIF(AF$8:AF$51,"CXXH")</f>
        <v>0</v>
      </c>
      <c r="AG70" s="49">
        <v>1</v>
      </c>
      <c r="AI70" s="1">
        <f>COUNTIF(AI$8:AI$51,"CXXH")</f>
        <v>0</v>
      </c>
      <c r="AJ70" s="49">
        <v>1</v>
      </c>
      <c r="AL70" s="1">
        <f>COUNTIF(AL$8:AL$51,"CXXH")</f>
        <v>0</v>
      </c>
      <c r="AM70" s="49">
        <v>1</v>
      </c>
      <c r="AO70" s="1">
        <f>COUNTIF(AO$8:AO$51,"CXXH")</f>
        <v>0</v>
      </c>
      <c r="AP70" s="49">
        <v>1</v>
      </c>
      <c r="AR70" s="1">
        <f>COUNTIF(AR$8:AR$51,"CXXH")</f>
        <v>0</v>
      </c>
      <c r="AS70" s="49">
        <v>1</v>
      </c>
      <c r="AU70" s="1">
        <f>COUNTIF(AU$8:AU$51,"CXXH")</f>
        <v>0</v>
      </c>
      <c r="AX70" s="1">
        <f>COUNTIF(AX$8:AX$51,"CXXH")</f>
        <v>0</v>
      </c>
      <c r="BA70" s="1">
        <f>COUNTIF(BA$8:BA$51,"CXXH")</f>
        <v>0</v>
      </c>
      <c r="BD70" s="1">
        <f>COUNTIF(BD$8:BD$51,"CXXH")</f>
        <v>0</v>
      </c>
      <c r="BG70" s="1">
        <f>COUNTIF(BG$8:BG$51,"CXXH")</f>
        <v>0</v>
      </c>
      <c r="BJ70" s="1">
        <f>COUNTIF(BJ$8:BJ$51,"CXXH")</f>
        <v>1</v>
      </c>
      <c r="BK70" s="1">
        <v>1</v>
      </c>
      <c r="BM70" s="1">
        <f>COUNTIF(BM$8:BM$51,"CXXH")</f>
        <v>1</v>
      </c>
      <c r="BN70" s="1">
        <v>1</v>
      </c>
      <c r="BP70" s="1">
        <f>COUNTIF(BP$8:BP$51,"CXXH")</f>
        <v>1</v>
      </c>
      <c r="BQ70" s="1">
        <v>1</v>
      </c>
      <c r="BS70" s="1">
        <f>COUNTIF(BS$8:BS$51,"CXXH")</f>
        <v>1</v>
      </c>
      <c r="BT70" s="1">
        <v>1</v>
      </c>
      <c r="BV70" s="1">
        <f>COUNTIF(BV$8:BV$51,"CXXH")</f>
        <v>1</v>
      </c>
      <c r="BW70" s="1">
        <v>1</v>
      </c>
      <c r="BY70" s="1">
        <f>COUNTIF(BY$8:BY$51,"CXXH")</f>
        <v>1</v>
      </c>
      <c r="BZ70" s="1">
        <v>1</v>
      </c>
      <c r="CB70" s="1">
        <f>COUNTIF(CB$8:CB$51,"CXXH")</f>
        <v>1</v>
      </c>
      <c r="CC70" s="1">
        <v>1</v>
      </c>
      <c r="CE70" s="1">
        <f>COUNTIF(CE$8:CE$51,"CXXH")</f>
        <v>1</v>
      </c>
      <c r="CF70" s="1">
        <v>1</v>
      </c>
      <c r="CH70" s="1">
        <f>COUNTIF(CH$8:CH$51,"CXXH")</f>
        <v>0</v>
      </c>
      <c r="CK70" s="1">
        <f>COUNTIF(CK$8:CK$51,"CXXH")</f>
        <v>0</v>
      </c>
      <c r="CN70" s="1">
        <f>COUNTIF(CN$8:CN$51,"CXXH")</f>
        <v>0</v>
      </c>
      <c r="CQ70" s="1">
        <f>COUNTIF(CQ$8:CQ$51,"CXXH")</f>
        <v>0</v>
      </c>
      <c r="CR70" s="49">
        <v>1</v>
      </c>
      <c r="CT70" s="1">
        <f>COUNTIF(CT$8:CT$51,"CXXH")</f>
        <v>0</v>
      </c>
      <c r="CU70" s="49">
        <v>1</v>
      </c>
      <c r="CW70" s="1">
        <f>COUNTIF(CW$8:CW$51,"CXXH")</f>
        <v>0</v>
      </c>
      <c r="CX70" s="49">
        <v>1</v>
      </c>
      <c r="CZ70" s="1">
        <f>COUNTIF(CZ$8:CZ$51,"CXXH")</f>
        <v>0</v>
      </c>
      <c r="DA70" s="49">
        <v>1</v>
      </c>
      <c r="DC70" s="1">
        <f>COUNTIF(DC$8:DC$51,"CXXH")</f>
        <v>0</v>
      </c>
      <c r="DD70" s="49">
        <v>1</v>
      </c>
      <c r="DH70" s="49">
        <v>1</v>
      </c>
      <c r="DL70" s="5">
        <f t="shared" si="42"/>
        <v>0</v>
      </c>
    </row>
    <row r="71" spans="3:116" ht="21" customHeight="1">
      <c r="C71" s="47" t="s">
        <v>204</v>
      </c>
      <c r="E71" s="1">
        <f>COUNTIF(E$8:E$51,"Âm nhạc")</f>
        <v>0</v>
      </c>
      <c r="F71" s="49">
        <v>1</v>
      </c>
      <c r="H71" s="1">
        <f>COUNTIF(H$8:H$51,"Âm nhạc")</f>
        <v>1</v>
      </c>
      <c r="I71" s="49">
        <v>1</v>
      </c>
      <c r="K71" s="1">
        <f>COUNTIF(K$8:K$51,"Âm nhạc")</f>
        <v>1</v>
      </c>
      <c r="L71" s="49">
        <v>1</v>
      </c>
      <c r="N71" s="1">
        <f>COUNTIF(N$8:N$51,"Âm nhạc")</f>
        <v>1</v>
      </c>
      <c r="O71" s="41">
        <v>1</v>
      </c>
      <c r="Q71" s="1">
        <f>COUNTIF(Q$8:Q$51,"Âm nhạc")</f>
        <v>1</v>
      </c>
      <c r="R71" s="41">
        <v>1</v>
      </c>
      <c r="T71" s="1">
        <f>COUNTIF(T$8:T$51,"Âm nhạc")</f>
        <v>1</v>
      </c>
      <c r="U71" s="41">
        <v>1</v>
      </c>
      <c r="W71" s="1">
        <f>COUNTIF(W$8:W$51,"Âm nhạc")</f>
        <v>1</v>
      </c>
      <c r="X71" s="41">
        <v>1</v>
      </c>
      <c r="Z71" s="1">
        <f>COUNTIF(Z$8:Z$51,"Âm nhạc")</f>
        <v>1</v>
      </c>
      <c r="AA71" s="41">
        <v>1</v>
      </c>
      <c r="AC71" s="1">
        <f>COUNTIF(AC$8:AC$51,"Âm nhạc")</f>
        <v>1</v>
      </c>
      <c r="AD71" s="41">
        <v>1</v>
      </c>
      <c r="AF71" s="1">
        <f>COUNTIF(AF$8:AF$51,"Âm nhạc")</f>
        <v>1</v>
      </c>
      <c r="AG71" s="41">
        <v>1</v>
      </c>
      <c r="AI71" s="1">
        <f>COUNTIF(AI$8:AI$51,"Âm nhạc")</f>
        <v>1</v>
      </c>
      <c r="AJ71" s="41">
        <v>1</v>
      </c>
      <c r="AL71" s="1">
        <f>COUNTIF(AL$8:AL$51,"Âm nhạc")</f>
        <v>1</v>
      </c>
      <c r="AM71" s="41">
        <v>1</v>
      </c>
      <c r="AO71" s="1">
        <f>COUNTIF(AO$8:AO$51,"Âm nhạc")</f>
        <v>1</v>
      </c>
      <c r="AP71" s="41">
        <v>1</v>
      </c>
      <c r="AR71" s="1">
        <f>COUNTIF(AR$8:AR$51,"Âm nhạc")</f>
        <v>1</v>
      </c>
      <c r="AS71" s="41">
        <v>1</v>
      </c>
      <c r="AU71" s="1">
        <f>COUNTIF(AU$8:AU$51,"Âm nhạc")</f>
        <v>0</v>
      </c>
      <c r="AX71" s="1">
        <f>COUNTIF(AX$8:AX$51,"Âm nhạc")</f>
        <v>0</v>
      </c>
      <c r="BA71" s="1">
        <f>COUNTIF(BA$8:BA$51,"Âm nhạc")</f>
        <v>0</v>
      </c>
      <c r="BD71" s="1">
        <f>COUNTIF(BD$8:BD$51,"Âm nhạc")</f>
        <v>0</v>
      </c>
      <c r="BG71" s="1">
        <f>COUNTIF(BG$8:BG$51,"Âm nhạc")</f>
        <v>0</v>
      </c>
      <c r="BJ71" s="1">
        <f>COUNTIF(BJ$8:BJ$51,"Âm nhạc")</f>
        <v>1</v>
      </c>
      <c r="BK71" s="1">
        <v>1</v>
      </c>
      <c r="BM71" s="1">
        <f>COUNTIF(BM$8:BM$51,"Âm nhạc")</f>
        <v>1</v>
      </c>
      <c r="BN71" s="1">
        <v>1</v>
      </c>
      <c r="BP71" s="1">
        <f>COUNTIF(BP$8:BP$51,"Âm nhạc")</f>
        <v>1</v>
      </c>
      <c r="BQ71" s="1">
        <v>1</v>
      </c>
      <c r="BS71" s="1">
        <f>COUNTIF(BS$8:BS$51,"Âm nhạc")</f>
        <v>1</v>
      </c>
      <c r="BT71" s="1">
        <v>1</v>
      </c>
      <c r="BV71" s="1">
        <f>COUNTIF(BV$8:BV$51,"Âm nhạc")</f>
        <v>1</v>
      </c>
      <c r="BW71" s="1">
        <v>1</v>
      </c>
      <c r="BY71" s="1">
        <f>COUNTIF(BY$8:BY$51,"Âm nhạc")</f>
        <v>1</v>
      </c>
      <c r="BZ71" s="1">
        <v>1</v>
      </c>
      <c r="CB71" s="1">
        <f>COUNTIF(CB$8:CB$51,"Âm nhạc")</f>
        <v>1</v>
      </c>
      <c r="CC71" s="1">
        <v>1</v>
      </c>
      <c r="CE71" s="1">
        <f>COUNTIF(CE$8:CE$51,"Âm nhạc")</f>
        <v>1</v>
      </c>
      <c r="CF71" s="1">
        <v>1</v>
      </c>
      <c r="CH71" s="1">
        <f>COUNTIF(CH$8:CH$51,"Âm nhạc")</f>
        <v>0</v>
      </c>
      <c r="CK71" s="1">
        <f>COUNTIF(CK$8:CK$51,"Âm nhạc")</f>
        <v>0</v>
      </c>
      <c r="CN71" s="1">
        <f>COUNTIF(CN$8:CN$51,"Âm nhạc")</f>
        <v>0</v>
      </c>
      <c r="CQ71" s="1">
        <f>COUNTIF(CQ$8:CQ$51,"Âm nhạc")</f>
        <v>1</v>
      </c>
      <c r="CR71" s="49">
        <v>1</v>
      </c>
      <c r="CT71" s="1">
        <f>COUNTIF(CT$8:CT$51,"Âm nhạc")</f>
        <v>1</v>
      </c>
      <c r="CU71" s="49">
        <v>1</v>
      </c>
      <c r="CW71" s="1">
        <f>COUNTIF(CW$8:CW$51,"Âm nhạc")</f>
        <v>1</v>
      </c>
      <c r="CX71" s="41">
        <v>1</v>
      </c>
      <c r="CZ71" s="1">
        <f>COUNTIF(CZ$8:CZ$51,"Âm nhạc")</f>
        <v>1</v>
      </c>
      <c r="DA71" s="41">
        <v>1</v>
      </c>
      <c r="DC71" s="1">
        <f>COUNTIF(DC$8:DC$51,"Âm nhạc")</f>
        <v>1</v>
      </c>
      <c r="DD71" s="41">
        <v>1</v>
      </c>
      <c r="DH71" s="41">
        <v>1</v>
      </c>
      <c r="DL71" s="5">
        <f t="shared" si="42"/>
        <v>0</v>
      </c>
    </row>
    <row r="72" spans="3:116" ht="21" customHeight="1">
      <c r="C72" s="47" t="s">
        <v>173</v>
      </c>
      <c r="E72" s="1">
        <f>COUNTIF(E$8:E$51,"Mĩ thuật")</f>
        <v>1</v>
      </c>
      <c r="F72" s="41">
        <v>1</v>
      </c>
      <c r="H72" s="1">
        <f>COUNTIF(H$8:H$51,"Mĩ thuật")</f>
        <v>1</v>
      </c>
      <c r="I72" s="41">
        <v>1</v>
      </c>
      <c r="K72" s="1">
        <f>COUNTIF(K$8:K$51,"Mĩ thuật")</f>
        <v>1</v>
      </c>
      <c r="L72" s="41">
        <v>1</v>
      </c>
      <c r="N72" s="1">
        <f>COUNTIF(N$8:N$51,"Mĩ thuật")</f>
        <v>1</v>
      </c>
      <c r="O72" s="49">
        <v>1</v>
      </c>
      <c r="Q72" s="1">
        <f>COUNTIF(Q$8:Q$51,"Mĩ thuật")</f>
        <v>1</v>
      </c>
      <c r="R72" s="49">
        <v>1</v>
      </c>
      <c r="T72" s="1">
        <f>COUNTIF(T$8:T$51,"Mĩ thuật")</f>
        <v>1</v>
      </c>
      <c r="U72" s="49">
        <v>1</v>
      </c>
      <c r="W72" s="1">
        <f>COUNTIF(W$8:W$51,"Mĩ thuật")</f>
        <v>1</v>
      </c>
      <c r="X72" s="49">
        <v>1</v>
      </c>
      <c r="Z72" s="1">
        <f>COUNTIF(Z$8:Z$51,"Mĩ thuật")</f>
        <v>1</v>
      </c>
      <c r="AA72" s="49">
        <v>1</v>
      </c>
      <c r="AC72" s="1">
        <f>COUNTIF(AC$8:AC$51,"Mĩ thuật")</f>
        <v>1</v>
      </c>
      <c r="AD72" s="49">
        <v>1</v>
      </c>
      <c r="AF72" s="1">
        <f>COUNTIF(AF$8:AF$51,"Mĩ thuật")</f>
        <v>1</v>
      </c>
      <c r="AG72" s="49">
        <v>1</v>
      </c>
      <c r="AI72" s="1">
        <f>COUNTIF(AI$8:AI$51,"Mĩ thuật")</f>
        <v>1</v>
      </c>
      <c r="AJ72" s="49">
        <v>1</v>
      </c>
      <c r="AL72" s="1">
        <f>COUNTIF(AL$8:AL$51,"Mĩ thuật")</f>
        <v>1</v>
      </c>
      <c r="AM72" s="49">
        <v>1</v>
      </c>
      <c r="AO72" s="1">
        <f>COUNTIF(AO$8:AO$51,"Mĩ thuật")</f>
        <v>1</v>
      </c>
      <c r="AP72" s="49">
        <v>1</v>
      </c>
      <c r="AR72" s="1">
        <f>COUNTIF(AR$8:AR$51,"Mĩ thuật")</f>
        <v>1</v>
      </c>
      <c r="AS72" s="49">
        <v>1</v>
      </c>
      <c r="AU72" s="1">
        <f>COUNTIF(AU$8:AU$51,"Mĩ thuật")</f>
        <v>0</v>
      </c>
      <c r="AX72" s="1">
        <f>COUNTIF(AX$8:AX$51,"Mĩ thuật")</f>
        <v>2</v>
      </c>
      <c r="AY72" s="1">
        <v>2</v>
      </c>
      <c r="BA72" s="1">
        <f>COUNTIF(BA$8:BA$51,"Mĩ thuật")</f>
        <v>2</v>
      </c>
      <c r="BB72" s="1">
        <v>2</v>
      </c>
      <c r="BD72" s="1">
        <f>COUNTIF(BD$8:BD$51,"Mĩ thuật")</f>
        <v>0</v>
      </c>
      <c r="BG72" s="1">
        <f>COUNTIF(BG$8:BG$51,"Mĩ thuật")</f>
        <v>1</v>
      </c>
      <c r="BH72" s="1">
        <v>1</v>
      </c>
      <c r="BJ72" s="1">
        <f>COUNTIF(BJ$8:BJ$51,"Mĩ thuật")</f>
        <v>1</v>
      </c>
      <c r="BK72" s="1">
        <v>1</v>
      </c>
      <c r="BM72" s="1">
        <f>COUNTIF(BM$8:BM$51,"Mĩ thuật")</f>
        <v>1</v>
      </c>
      <c r="BN72" s="1">
        <v>1</v>
      </c>
      <c r="BP72" s="1">
        <f>COUNTIF(BP$8:BP$51,"Mĩ thuật")</f>
        <v>1</v>
      </c>
      <c r="BQ72" s="1">
        <v>1</v>
      </c>
      <c r="BS72" s="1">
        <f>COUNTIF(BS$8:BS$51,"Mĩ thuật")</f>
        <v>1</v>
      </c>
      <c r="BT72" s="1">
        <v>1</v>
      </c>
      <c r="BV72" s="1">
        <f>COUNTIF(BV$8:BV$51,"Mĩ thuật")</f>
        <v>1</v>
      </c>
      <c r="BW72" s="1">
        <v>1</v>
      </c>
      <c r="BY72" s="1">
        <f>COUNTIF(BY$8:BY$51,"Mĩ thuật")</f>
        <v>1</v>
      </c>
      <c r="BZ72" s="1">
        <v>1</v>
      </c>
      <c r="CB72" s="1">
        <f>COUNTIF(CB$8:CB$51,"Mĩ thuật")</f>
        <v>1</v>
      </c>
      <c r="CC72" s="1">
        <v>1</v>
      </c>
      <c r="CE72" s="1">
        <f>COUNTIF(CE$8:CE$51,"Mĩ thuật")</f>
        <v>1</v>
      </c>
      <c r="CF72" s="1">
        <v>1</v>
      </c>
      <c r="CH72" s="1">
        <f>COUNTIF(CH$8:CH$51,"Mĩ thuật")</f>
        <v>2</v>
      </c>
      <c r="CI72" s="1">
        <v>2</v>
      </c>
      <c r="CK72" s="1">
        <f>COUNTIF(CK$8:CK$51,"Mĩ thuật")</f>
        <v>0</v>
      </c>
      <c r="CN72" s="1">
        <f>COUNTIF(CN$8:CN$51,"Mĩ thuật")</f>
        <v>0</v>
      </c>
      <c r="CQ72" s="1">
        <f>COUNTIF(CQ$8:CQ$51,"Mĩ thuật")</f>
        <v>1</v>
      </c>
      <c r="CR72" s="41">
        <v>1</v>
      </c>
      <c r="CT72" s="1">
        <f>COUNTIF(CT$8:CT$51,"Mĩ thuật")</f>
        <v>1</v>
      </c>
      <c r="CU72" s="41">
        <v>1</v>
      </c>
      <c r="CW72" s="1">
        <f>COUNTIF(CW$8:CW$51,"Mĩ thuật")</f>
        <v>1</v>
      </c>
      <c r="CX72" s="49">
        <v>1</v>
      </c>
      <c r="CZ72" s="1">
        <f>COUNTIF(CZ$8:CZ$51,"Mĩ thuật")</f>
        <v>1</v>
      </c>
      <c r="DA72" s="49">
        <v>1</v>
      </c>
      <c r="DC72" s="1">
        <f>COUNTIF(DC$8:DC$51,"Mĩ thuật")</f>
        <v>1</v>
      </c>
      <c r="DD72" s="49">
        <v>1</v>
      </c>
      <c r="DH72" s="49">
        <v>1</v>
      </c>
      <c r="DL72" s="5">
        <f t="shared" si="42"/>
        <v>0</v>
      </c>
    </row>
    <row r="73" spans="3:116" ht="21" customHeight="1">
      <c r="C73" s="47" t="s">
        <v>142</v>
      </c>
      <c r="E73" s="1">
        <f>COUNTIF(E$8:E$51,"CLB")</f>
        <v>0</v>
      </c>
      <c r="F73" s="49">
        <v>1</v>
      </c>
      <c r="H73" s="1">
        <f>COUNTIF(H$8:H$51,"CLB")</f>
        <v>0</v>
      </c>
      <c r="I73" s="49">
        <v>1</v>
      </c>
      <c r="K73" s="1">
        <f>COUNTIF(K$8:K$51,"CLB")</f>
        <v>0</v>
      </c>
      <c r="L73" s="49">
        <v>1</v>
      </c>
      <c r="N73" s="1">
        <f>COUNTIF(N$8:N$51,"CLB")</f>
        <v>0</v>
      </c>
      <c r="O73" s="49">
        <v>1</v>
      </c>
      <c r="Q73" s="1">
        <f>COUNTIF(Q$8:Q$51,"CLB")</f>
        <v>0</v>
      </c>
      <c r="R73" s="49">
        <v>1</v>
      </c>
      <c r="T73" s="1">
        <f>COUNTIF(T$8:T$51,"CLB")</f>
        <v>0</v>
      </c>
      <c r="U73" s="49">
        <v>1</v>
      </c>
      <c r="W73" s="1">
        <f>COUNTIF(W$8:W$51,"CLB")</f>
        <v>0</v>
      </c>
      <c r="X73" s="49">
        <v>1</v>
      </c>
      <c r="Z73" s="1">
        <f>COUNTIF(Z$8:Z$51,"CLB")</f>
        <v>0</v>
      </c>
      <c r="AA73" s="49">
        <v>1</v>
      </c>
      <c r="AC73" s="1">
        <f>COUNTIF(AC$8:AC$51,"CLB")</f>
        <v>0</v>
      </c>
      <c r="AD73" s="49">
        <v>1</v>
      </c>
      <c r="AF73" s="1">
        <f>COUNTIF(AF$8:AF$51,"CLB")</f>
        <v>0</v>
      </c>
      <c r="AG73" s="49">
        <v>1</v>
      </c>
      <c r="AI73" s="1">
        <f>COUNTIF(AI$8:AI$51,"CLB")</f>
        <v>0</v>
      </c>
      <c r="AJ73" s="49">
        <v>1</v>
      </c>
      <c r="AL73" s="1">
        <f>COUNTIF(AL$8:AL$51,"CLB")</f>
        <v>0</v>
      </c>
      <c r="AM73" s="49">
        <v>1</v>
      </c>
      <c r="AO73" s="1">
        <f>COUNTIF(AO$8:AO$51,"CLB")</f>
        <v>0</v>
      </c>
      <c r="AP73" s="49">
        <v>1</v>
      </c>
      <c r="AR73" s="1">
        <f>COUNTIF(AR$8:AR$51,"CLB")</f>
        <v>0</v>
      </c>
      <c r="AS73" s="49">
        <v>1</v>
      </c>
      <c r="AU73" s="1">
        <f>COUNTIF(AU$8:AU$51,"CLB")</f>
        <v>0</v>
      </c>
      <c r="AV73" s="1">
        <v>1</v>
      </c>
      <c r="AX73" s="1">
        <f>COUNTIF(AX$8:AX$51,"CLB")</f>
        <v>0</v>
      </c>
      <c r="AY73" s="1">
        <v>1</v>
      </c>
      <c r="BA73" s="1">
        <f>COUNTIF(BA$8:BA$51,"CLB")</f>
        <v>0</v>
      </c>
      <c r="BB73" s="1">
        <v>1</v>
      </c>
      <c r="BD73" s="1">
        <f>COUNTIF(BD$8:BD$51,"CLB")</f>
        <v>0</v>
      </c>
      <c r="BE73" s="1">
        <v>1</v>
      </c>
      <c r="BG73" s="1">
        <f>COUNTIF(BG$8:BG$51,"CLB")</f>
        <v>0</v>
      </c>
      <c r="BH73" s="1">
        <v>1</v>
      </c>
      <c r="BJ73" s="1">
        <f>COUNTIF(BJ$8:BJ$51,"CLB")</f>
        <v>0</v>
      </c>
      <c r="BM73" s="1">
        <f>COUNTIF(BM$8:BM$51,"CLB")</f>
        <v>0</v>
      </c>
      <c r="BP73" s="1">
        <f>COUNTIF(BP$8:BP$51,"CLB")</f>
        <v>0</v>
      </c>
      <c r="BS73" s="1">
        <f>COUNTIF(BS$8:BS$51,"CLB")</f>
        <v>0</v>
      </c>
      <c r="BV73" s="1">
        <f>COUNTIF(BV$8:BV$51,"CLB")</f>
        <v>0</v>
      </c>
      <c r="BY73" s="1">
        <f>COUNTIF(BY$8:BY$51,"CLB")</f>
        <v>0</v>
      </c>
      <c r="CB73" s="1">
        <f>COUNTIF(CB$8:CB$51,"CLB")</f>
        <v>0</v>
      </c>
      <c r="CE73" s="1">
        <f>COUNTIF(CE$8:CE$51,"CLB")</f>
        <v>0</v>
      </c>
      <c r="CH73" s="1">
        <f>COUNTIF(CH$8:CH$51,"CLB")</f>
        <v>1</v>
      </c>
      <c r="CI73" s="1">
        <v>1</v>
      </c>
      <c r="CK73" s="1">
        <f>COUNTIF(CK$8:CK$51,"CLB")</f>
        <v>1</v>
      </c>
      <c r="CL73" s="1">
        <v>1</v>
      </c>
      <c r="CN73" s="1">
        <f>COUNTIF(CN$8:CN$51,"CLB")</f>
        <v>1</v>
      </c>
      <c r="CO73" s="1">
        <v>1</v>
      </c>
      <c r="CQ73" s="1">
        <f>COUNTIF(CQ$8:CQ$51,"CLB")</f>
        <v>0</v>
      </c>
      <c r="CR73" s="49">
        <v>1</v>
      </c>
      <c r="CT73" s="1">
        <f>COUNTIF(CT$8:CT$51,"CLB")</f>
        <v>0</v>
      </c>
      <c r="CU73" s="49">
        <v>1</v>
      </c>
      <c r="CW73" s="1">
        <f>COUNTIF(CW$8:CW$51,"CLB")</f>
        <v>0</v>
      </c>
      <c r="CX73" s="49">
        <v>1</v>
      </c>
      <c r="CZ73" s="1">
        <f>COUNTIF(CZ$8:CZ$51,"CLB")</f>
        <v>0</v>
      </c>
      <c r="DA73" s="49">
        <v>1</v>
      </c>
      <c r="DC73" s="1">
        <f>COUNTIF(DC$8:DC$51,"CLB")</f>
        <v>0</v>
      </c>
      <c r="DD73" s="49">
        <v>1</v>
      </c>
      <c r="DH73" s="49">
        <v>1</v>
      </c>
      <c r="DL73" s="5">
        <f t="shared" si="42"/>
        <v>0</v>
      </c>
    </row>
    <row r="74" spans="3:116" ht="21" customHeight="1">
      <c r="C74" s="47" t="s">
        <v>240</v>
      </c>
      <c r="E74" s="1">
        <f>COUNTIF(E$8:E$51,"STEM")</f>
        <v>2</v>
      </c>
      <c r="F74" s="49">
        <v>2</v>
      </c>
      <c r="H74" s="1">
        <f>COUNTIF(H$8:H$51,"STEM")</f>
        <v>2</v>
      </c>
      <c r="I74" s="49">
        <v>2</v>
      </c>
      <c r="K74" s="1">
        <f>COUNTIF(K$8:K$51,"STEM")</f>
        <v>2</v>
      </c>
      <c r="L74" s="49">
        <v>2</v>
      </c>
      <c r="N74" s="1">
        <f>COUNTIF(N$8:N$51,"STEM")</f>
        <v>2</v>
      </c>
      <c r="O74" s="49">
        <v>2</v>
      </c>
      <c r="Q74" s="1">
        <f>COUNTIF(Q$8:Q$51,"STEM")</f>
        <v>2</v>
      </c>
      <c r="R74" s="49">
        <v>2</v>
      </c>
      <c r="T74" s="1">
        <f>COUNTIF(T$8:T$51,"STEM")</f>
        <v>2</v>
      </c>
      <c r="U74" s="49">
        <v>2</v>
      </c>
      <c r="W74" s="1">
        <f>COUNTIF(W$8:W$51,"STEM")</f>
        <v>2</v>
      </c>
      <c r="X74" s="49">
        <v>2</v>
      </c>
      <c r="Z74" s="1">
        <f>COUNTIF(Z$8:Z$51,"STEM")</f>
        <v>2</v>
      </c>
      <c r="AA74" s="49">
        <v>2</v>
      </c>
      <c r="AC74" s="1">
        <f>COUNTIF(AC$8:AC$51,"STEM")</f>
        <v>2</v>
      </c>
      <c r="AD74" s="49">
        <v>2</v>
      </c>
      <c r="AF74" s="1">
        <f>COUNTIF(AF$8:AF$51,"STEM")</f>
        <v>2</v>
      </c>
      <c r="AG74" s="49">
        <v>2</v>
      </c>
      <c r="AI74" s="1">
        <f>COUNTIF(AI$8:AI$51,"STEM")</f>
        <v>1</v>
      </c>
      <c r="AJ74" s="49">
        <v>1</v>
      </c>
      <c r="AL74" s="1">
        <f>COUNTIF(AL$8:AL$51,"STEM")</f>
        <v>1</v>
      </c>
      <c r="AM74" s="49">
        <v>1</v>
      </c>
      <c r="AO74" s="1">
        <f>COUNTIF(AO$8:AO$51,"STEM")</f>
        <v>1</v>
      </c>
      <c r="AP74" s="49">
        <v>1</v>
      </c>
      <c r="AR74" s="1">
        <f>COUNTIF(AR$8:AR$51,"STEM")</f>
        <v>1</v>
      </c>
      <c r="AS74" s="49">
        <v>1</v>
      </c>
      <c r="AU74" s="1">
        <f>COUNTIF(AU$8:AU$51,"STEM")</f>
        <v>0</v>
      </c>
      <c r="AV74" s="1">
        <v>1</v>
      </c>
      <c r="AX74" s="1">
        <f>COUNTIF(AX$8:AX$51,"STEM")</f>
        <v>0</v>
      </c>
      <c r="AY74" s="1">
        <v>1</v>
      </c>
      <c r="BA74" s="1">
        <f>COUNTIF(BA$8:BA$51,"STEM")</f>
        <v>0</v>
      </c>
      <c r="BB74" s="1">
        <v>1</v>
      </c>
      <c r="BD74" s="1">
        <f>COUNTIF(BD$8:BD$51,"STEM")</f>
        <v>0</v>
      </c>
      <c r="BE74" s="1">
        <v>1</v>
      </c>
      <c r="BG74" s="1">
        <f>COUNTIF(BG$8:BG$51,"STEM")</f>
        <v>0</v>
      </c>
      <c r="BH74" s="1">
        <v>1</v>
      </c>
      <c r="BJ74" s="1">
        <f>COUNTIF(BJ$8:BJ$51,"STEM")</f>
        <v>2</v>
      </c>
      <c r="BK74" s="1">
        <v>2</v>
      </c>
      <c r="BM74" s="1">
        <f>COUNTIF(BM$8:BM$51,"STEM")</f>
        <v>2</v>
      </c>
      <c r="BN74" s="1">
        <v>2</v>
      </c>
      <c r="BP74" s="1">
        <f>COUNTIF(BP$8:BP$51,"STEM")</f>
        <v>2</v>
      </c>
      <c r="BQ74" s="1">
        <v>2</v>
      </c>
      <c r="BS74" s="1">
        <f>COUNTIF(BS$8:BS$51,"STEM")</f>
        <v>2</v>
      </c>
      <c r="BT74" s="1">
        <v>2</v>
      </c>
      <c r="BV74" s="1">
        <f>COUNTIF(BV$8:BV$51,"STEM")</f>
        <v>2</v>
      </c>
      <c r="BW74" s="1">
        <v>2</v>
      </c>
      <c r="BY74" s="1">
        <f>COUNTIF(BY$8:BY$51,"STEM")</f>
        <v>2</v>
      </c>
      <c r="BZ74" s="1">
        <v>2</v>
      </c>
      <c r="CB74" s="1">
        <f>COUNTIF(CB$8:CB$51,"STEM")</f>
        <v>2</v>
      </c>
      <c r="CC74" s="1">
        <v>2</v>
      </c>
      <c r="CE74" s="1">
        <f>COUNTIF(CE$8:CE$51,"STEM")</f>
        <v>2</v>
      </c>
      <c r="CF74" s="1">
        <v>2</v>
      </c>
      <c r="CH74" s="1">
        <f>COUNTIF(CH$8:CH$51,"STEM")</f>
        <v>0</v>
      </c>
      <c r="CK74" s="1">
        <f>COUNTIF(CK$8:CK$51,"STEM")</f>
        <v>0</v>
      </c>
      <c r="CN74" s="1">
        <f>COUNTIF(CN$8:CN$51,"STEM")</f>
        <v>0</v>
      </c>
      <c r="CQ74" s="1">
        <f>COUNTIF(CQ$8:CQ$51,"STEM")</f>
        <v>2</v>
      </c>
      <c r="CR74" s="49">
        <v>2</v>
      </c>
      <c r="CT74" s="1">
        <f>COUNTIF(CT$8:CT$51,"STEM")</f>
        <v>2</v>
      </c>
      <c r="CU74" s="49">
        <v>2</v>
      </c>
      <c r="CW74" s="1">
        <f>COUNTIF(CW$8:CW$51,"STEM")</f>
        <v>2</v>
      </c>
      <c r="CX74" s="49">
        <v>2</v>
      </c>
      <c r="CZ74" s="1">
        <f>COUNTIF(CZ$8:CZ$51,"STEM")</f>
        <v>2</v>
      </c>
      <c r="DA74" s="49">
        <v>2</v>
      </c>
      <c r="DC74" s="1">
        <f>COUNTIF(DC$8:DC$51,"STEM")</f>
        <v>1</v>
      </c>
      <c r="DD74" s="49">
        <v>1</v>
      </c>
      <c r="DH74" s="49">
        <v>1</v>
      </c>
      <c r="DL74" s="5">
        <f t="shared" ref="DL74:DL77" si="61">COUNTIF($E74:$DI74,"Lab 3")</f>
        <v>0</v>
      </c>
    </row>
    <row r="75" spans="3:116" ht="21" customHeight="1">
      <c r="C75" s="47" t="s">
        <v>241</v>
      </c>
      <c r="E75" s="1">
        <f>COUNTIF(E$8:E$51,"ICT")</f>
        <v>2</v>
      </c>
      <c r="F75" s="49">
        <v>2</v>
      </c>
      <c r="H75" s="1">
        <f>COUNTIF(H$8:H$51,"ICT")</f>
        <v>2</v>
      </c>
      <c r="I75" s="49">
        <v>2</v>
      </c>
      <c r="K75" s="1">
        <f>COUNTIF(K$8:K$51,"ICT")</f>
        <v>2</v>
      </c>
      <c r="L75" s="49">
        <v>2</v>
      </c>
      <c r="N75" s="1">
        <f>COUNTIF(N$8:N$51,"ICT")</f>
        <v>2</v>
      </c>
      <c r="O75" s="49">
        <v>2</v>
      </c>
      <c r="Q75" s="1">
        <f>COUNTIF(Q$8:Q$51,"ICT")</f>
        <v>2</v>
      </c>
      <c r="R75" s="49">
        <v>2</v>
      </c>
      <c r="T75" s="1">
        <f>COUNTIF(T$8:T$51,"ICT")</f>
        <v>2</v>
      </c>
      <c r="U75" s="49">
        <v>2</v>
      </c>
      <c r="W75" s="1">
        <f>COUNTIF(W$8:W$51,"ICT")</f>
        <v>2</v>
      </c>
      <c r="X75" s="49">
        <v>2</v>
      </c>
      <c r="Z75" s="1">
        <f>COUNTIF(Z$8:Z$51,"ICT")</f>
        <v>2</v>
      </c>
      <c r="AA75" s="49">
        <v>2</v>
      </c>
      <c r="AC75" s="1">
        <f>COUNTIF(AC$8:AC$51,"ICT")</f>
        <v>2</v>
      </c>
      <c r="AD75" s="49">
        <v>2</v>
      </c>
      <c r="AF75" s="1">
        <f>COUNTIF(AF$8:AF$51,"ICT")</f>
        <v>2</v>
      </c>
      <c r="AG75" s="49">
        <v>2</v>
      </c>
      <c r="AI75" s="1">
        <f>COUNTIF(AI$8:AI$51,"ICT")</f>
        <v>2</v>
      </c>
      <c r="AJ75" s="49">
        <v>2</v>
      </c>
      <c r="AL75" s="1">
        <f>COUNTIF(AL$8:AL$51,"ICT")</f>
        <v>2</v>
      </c>
      <c r="AM75" s="49">
        <v>2</v>
      </c>
      <c r="AO75" s="1">
        <f>COUNTIF(AO$8:AO$51,"ICT")</f>
        <v>2</v>
      </c>
      <c r="AP75" s="49">
        <v>2</v>
      </c>
      <c r="AR75" s="1">
        <f>COUNTIF(AR$8:AR$51,"ICT")</f>
        <v>2</v>
      </c>
      <c r="AS75" s="49">
        <v>2</v>
      </c>
      <c r="AU75" s="1">
        <f>COUNTIF(AU$8:AU$51,"ICT")</f>
        <v>2</v>
      </c>
      <c r="AV75" s="1">
        <v>2</v>
      </c>
      <c r="AX75" s="1">
        <f>COUNTIF(AX$8:AX$51,"ICT")</f>
        <v>2</v>
      </c>
      <c r="AY75" s="1">
        <v>2</v>
      </c>
      <c r="BA75" s="1">
        <f>COUNTIF(BA$8:BA$51,"ICT")</f>
        <v>2</v>
      </c>
      <c r="BB75" s="1">
        <v>2</v>
      </c>
      <c r="BD75" s="1">
        <f>COUNTIF(BD$8:BD$51,"ICT")</f>
        <v>1</v>
      </c>
      <c r="BE75" s="1">
        <v>1</v>
      </c>
      <c r="BG75" s="1">
        <f>COUNTIF(BG$8:BG$51,"ICT")</f>
        <v>1</v>
      </c>
      <c r="BH75" s="1">
        <v>1</v>
      </c>
      <c r="BJ75" s="1">
        <f>COUNTIF(BJ$8:BJ$51,"ICT")</f>
        <v>2</v>
      </c>
      <c r="BK75" s="1">
        <v>2</v>
      </c>
      <c r="BM75" s="1">
        <f>COUNTIF(BM$8:BM$51,"ICT")</f>
        <v>2</v>
      </c>
      <c r="BN75" s="1">
        <v>2</v>
      </c>
      <c r="BP75" s="1">
        <f>COUNTIF(BP$8:BP$51,"ICT")</f>
        <v>2</v>
      </c>
      <c r="BQ75" s="1">
        <v>2</v>
      </c>
      <c r="BS75" s="1">
        <f>COUNTIF(BS$8:BS$51,"ICT")</f>
        <v>2</v>
      </c>
      <c r="BT75" s="1">
        <v>2</v>
      </c>
      <c r="BV75" s="1">
        <f>COUNTIF(BV$8:BV$51,"ICT")</f>
        <v>2</v>
      </c>
      <c r="BW75" s="1">
        <v>2</v>
      </c>
      <c r="BY75" s="1">
        <f>COUNTIF(BY$8:BY$51,"ICT")</f>
        <v>2</v>
      </c>
      <c r="BZ75" s="1">
        <v>2</v>
      </c>
      <c r="CB75" s="1">
        <f>COUNTIF(CB$8:CB$51,"ICT")</f>
        <v>2</v>
      </c>
      <c r="CC75" s="1">
        <v>2</v>
      </c>
      <c r="CE75" s="1">
        <f>COUNTIF(CE$8:CE$51,"ICT")</f>
        <v>2</v>
      </c>
      <c r="CF75" s="1">
        <v>2</v>
      </c>
      <c r="CH75" s="1">
        <f>COUNTIF(CH$8:CH$51,"ICT")</f>
        <v>2</v>
      </c>
      <c r="CI75" s="1">
        <v>2</v>
      </c>
      <c r="CK75" s="1">
        <f>COUNTIF(CK$8:CK$51,"ICT")</f>
        <v>2</v>
      </c>
      <c r="CL75" s="1">
        <v>2</v>
      </c>
      <c r="CN75" s="1">
        <f>COUNTIF(CN$8:CN$51,"ICT")</f>
        <v>1</v>
      </c>
      <c r="CO75" s="1">
        <v>1</v>
      </c>
      <c r="CQ75" s="1">
        <f>COUNTIF(CQ$8:CQ$51,"ICT")</f>
        <v>2</v>
      </c>
      <c r="CR75" s="49">
        <v>2</v>
      </c>
      <c r="CT75" s="1">
        <f>COUNTIF(CT$8:CT$51,"ICT")</f>
        <v>2</v>
      </c>
      <c r="CU75" s="49">
        <v>2</v>
      </c>
      <c r="CW75" s="1">
        <f>COUNTIF(CW$8:CW$51,"ICT")</f>
        <v>2</v>
      </c>
      <c r="CX75" s="49">
        <v>2</v>
      </c>
      <c r="CZ75" s="1">
        <f>COUNTIF(CZ$8:CZ$51,"ICT")</f>
        <v>2</v>
      </c>
      <c r="DA75" s="49">
        <v>2</v>
      </c>
      <c r="DC75" s="1">
        <f>COUNTIF(DC$8:DC$51,"ICT")</f>
        <v>2</v>
      </c>
      <c r="DD75" s="49">
        <v>2</v>
      </c>
      <c r="DH75" s="49">
        <v>2</v>
      </c>
      <c r="DL75" s="5">
        <f t="shared" si="61"/>
        <v>0</v>
      </c>
    </row>
    <row r="76" spans="3:116" ht="21" customHeight="1">
      <c r="C76" s="47" t="s">
        <v>211</v>
      </c>
      <c r="E76" s="1">
        <f>COUNTIF(E$8:E$51,"Tiếng Nhật")</f>
        <v>0</v>
      </c>
      <c r="F76" s="49"/>
      <c r="H76" s="1">
        <f>COUNTIF(H$8:H$51,"Tiếng Nhật")</f>
        <v>0</v>
      </c>
      <c r="I76" s="49"/>
      <c r="K76" s="1">
        <f>COUNTIF(K$8:K$51,"Tiếng Nhật")</f>
        <v>0</v>
      </c>
      <c r="L76" s="49"/>
      <c r="N76" s="1">
        <f>COUNTIF(N$8:N$51,"Tiếng Nhật")</f>
        <v>0</v>
      </c>
      <c r="O76" s="49"/>
      <c r="Q76" s="1">
        <f>COUNTIF(Q$8:Q$51,"Tiếng Nhật")</f>
        <v>0</v>
      </c>
      <c r="R76" s="49"/>
      <c r="T76" s="1">
        <f>COUNTIF(T$8:T$51,"Tiếng Nhật")</f>
        <v>0</v>
      </c>
      <c r="U76" s="49"/>
      <c r="W76" s="1">
        <f>COUNTIF(W$8:W$51,"Tiếng Nhật")</f>
        <v>0</v>
      </c>
      <c r="X76" s="49"/>
      <c r="Z76" s="1">
        <f>COUNTIF(Z$8:Z$51,"Tiếng Nhật")</f>
        <v>0</v>
      </c>
      <c r="AA76" s="49"/>
      <c r="AC76" s="1">
        <f>COUNTIF(AC$8:AC$51,"Tiếng Nhật")</f>
        <v>0</v>
      </c>
      <c r="AD76" s="49"/>
      <c r="AF76" s="1">
        <f>COUNTIF(AF$8:AF$51,"Tiếng Nhật")</f>
        <v>0</v>
      </c>
      <c r="AG76" s="49"/>
      <c r="AI76" s="1">
        <f>COUNTIF(AI$8:AI$51,"Tiếng Nhật")</f>
        <v>0</v>
      </c>
      <c r="AJ76" s="49"/>
      <c r="AL76" s="1">
        <f>COUNTIF(AL$8:AL$51,"Tiếng Nhật")</f>
        <v>0</v>
      </c>
      <c r="AM76" s="49"/>
      <c r="AO76" s="1">
        <f>COUNTIF(AO$8:AO$51,"Tiếng Nhật")</f>
        <v>0</v>
      </c>
      <c r="AP76" s="49"/>
      <c r="AR76" s="1">
        <f>COUNTIF(AR$8:AR$51,"Tiếng Nhật")</f>
        <v>0</v>
      </c>
      <c r="AS76" s="49"/>
      <c r="AU76" s="1">
        <f>COUNTIF(AU$8:AU$51,"Tiếng Nhật")</f>
        <v>1</v>
      </c>
      <c r="AV76" s="1">
        <v>1</v>
      </c>
      <c r="AX76" s="1">
        <f>COUNTIF(AX$8:AX$51,"Tiếng Nhật")</f>
        <v>1</v>
      </c>
      <c r="AY76" s="1">
        <v>1</v>
      </c>
      <c r="BA76" s="1">
        <f>COUNTIF(BA$8:BA$51,"Tiếng Nhật")</f>
        <v>1</v>
      </c>
      <c r="BB76" s="1">
        <v>1</v>
      </c>
      <c r="BD76" s="1">
        <f>COUNTIF(BD$8:BD$51,"Tiếng Nhật")</f>
        <v>1</v>
      </c>
      <c r="BE76" s="1">
        <v>1</v>
      </c>
      <c r="BG76" s="1">
        <f>COUNTIF(BG$8:BG$51,"Tiếng Nhật")</f>
        <v>1</v>
      </c>
      <c r="BH76" s="1">
        <v>1</v>
      </c>
      <c r="BJ76" s="1">
        <f>COUNTIF(BJ$8:BJ$51,"Tiếng Nhật")</f>
        <v>0</v>
      </c>
      <c r="BM76" s="1">
        <f>COUNTIF(BM$8:BM$51,"Tiếng Nhật")</f>
        <v>0</v>
      </c>
      <c r="BP76" s="1">
        <f>COUNTIF(BP$8:BP$51,"Tiếng Nhật")</f>
        <v>0</v>
      </c>
      <c r="BS76" s="1">
        <f>COUNTIF(BS$8:BS$51,"Tiếng Nhật")</f>
        <v>0</v>
      </c>
      <c r="BV76" s="1">
        <f>COUNTIF(BV$8:BV$51,"Tiếng Nhật")</f>
        <v>0</v>
      </c>
      <c r="BY76" s="1">
        <f>COUNTIF(BY$8:BY$51,"Tiếng Nhật")</f>
        <v>0</v>
      </c>
      <c r="CB76" s="1">
        <f>COUNTIF(CB$8:CB$51,"Tiếng Nhật")</f>
        <v>0</v>
      </c>
      <c r="CE76" s="1">
        <f>COUNTIF(CE$8:CE$51,"Tiếng Nhật")</f>
        <v>0</v>
      </c>
      <c r="CH76" s="1">
        <f>COUNTIF(CH$8:CH$51,"Tiếng Nhật")</f>
        <v>1</v>
      </c>
      <c r="CI76" s="1">
        <v>1</v>
      </c>
      <c r="CK76" s="1">
        <f>COUNTIF(CK$8:CK$51,"Tiếng Nhật")</f>
        <v>1</v>
      </c>
      <c r="CL76" s="1">
        <v>1</v>
      </c>
      <c r="CN76" s="1">
        <f>COUNTIF(CN$8:CN$51,"Tiếng Nhật")</f>
        <v>1</v>
      </c>
      <c r="CO76" s="1">
        <v>1</v>
      </c>
      <c r="CQ76" s="1">
        <f>COUNTIF(CQ$8:CQ$51,"Tiếng Nhật")</f>
        <v>0</v>
      </c>
      <c r="CR76" s="49"/>
      <c r="CT76" s="1">
        <f>COUNTIF(CT$8:CT$51,"Tiếng Nhật")</f>
        <v>0</v>
      </c>
      <c r="CU76" s="49"/>
      <c r="CW76" s="1">
        <f>COUNTIF(CW$8:CW$51,"Tiếng Nhật")</f>
        <v>0</v>
      </c>
      <c r="CX76" s="49"/>
      <c r="CZ76" s="1">
        <f>COUNTIF(CZ$8:CZ$51,"Tiếng Nhật")</f>
        <v>0</v>
      </c>
      <c r="DA76" s="49"/>
      <c r="DC76" s="1">
        <f>COUNTIF(DC$8:DC$51,"Tiếng Nhật")</f>
        <v>0</v>
      </c>
      <c r="DD76" s="49"/>
      <c r="DH76" s="49"/>
      <c r="DL76" s="5">
        <f t="shared" si="61"/>
        <v>0</v>
      </c>
    </row>
    <row r="77" spans="3:116" ht="31.5" customHeight="1">
      <c r="C77" s="48" t="s">
        <v>242</v>
      </c>
      <c r="E77" s="1">
        <f>COUNTIF(E$8:E$51,"HĐTN")</f>
        <v>1</v>
      </c>
      <c r="F77" s="49">
        <v>1</v>
      </c>
      <c r="H77" s="1">
        <f>COUNTIF(H$8:H$51,"HĐTN")</f>
        <v>1</v>
      </c>
      <c r="I77" s="49">
        <v>1</v>
      </c>
      <c r="K77" s="1">
        <f>COUNTIF(K$8:K$51,"HĐTN")</f>
        <v>1</v>
      </c>
      <c r="L77" s="49">
        <v>1</v>
      </c>
      <c r="N77" s="1">
        <f>COUNTIF(N$8:N$51,"HĐTN")</f>
        <v>1</v>
      </c>
      <c r="O77" s="49">
        <v>1</v>
      </c>
      <c r="Q77" s="1">
        <f>COUNTIF(Q$8:Q$51,"HĐTN")</f>
        <v>1</v>
      </c>
      <c r="R77" s="49">
        <v>1</v>
      </c>
      <c r="T77" s="1">
        <f>COUNTIF(T$8:T$51,"HĐTN")</f>
        <v>1</v>
      </c>
      <c r="U77" s="49">
        <v>1</v>
      </c>
      <c r="W77" s="1">
        <f>COUNTIF(W$8:W$51,"HĐTN")</f>
        <v>1</v>
      </c>
      <c r="X77" s="49">
        <v>1</v>
      </c>
      <c r="Z77" s="1">
        <f>COUNTIF(Z$8:Z$51,"HĐTN")</f>
        <v>1</v>
      </c>
      <c r="AA77" s="49">
        <v>1</v>
      </c>
      <c r="AC77" s="1">
        <f>COUNTIF(AC$8:AC$51,"HĐTN")</f>
        <v>1</v>
      </c>
      <c r="AD77" s="49">
        <v>1</v>
      </c>
      <c r="AF77" s="1">
        <f>COUNTIF(AF$8:AF$51,"HĐTN")</f>
        <v>1</v>
      </c>
      <c r="AG77" s="49">
        <v>1</v>
      </c>
      <c r="AI77" s="1">
        <f>COUNTIF(AI$8:AI$51,"HĐTN")</f>
        <v>1</v>
      </c>
      <c r="AJ77" s="49">
        <v>1</v>
      </c>
      <c r="AL77" s="1">
        <f>COUNTIF(AL$8:AL$51,"HĐTN")</f>
        <v>1</v>
      </c>
      <c r="AM77" s="49">
        <v>1</v>
      </c>
      <c r="AO77" s="1">
        <f>COUNTIF(AO$8:AO$51,"HĐTN")</f>
        <v>1</v>
      </c>
      <c r="AP77" s="49">
        <v>1</v>
      </c>
      <c r="AR77" s="1">
        <f>COUNTIF(AR$8:AR$51,"HĐTN")</f>
        <v>1</v>
      </c>
      <c r="AS77" s="49">
        <v>1</v>
      </c>
      <c r="AU77" s="1">
        <f>COUNTIF(AU$8:AU$51,"HĐTN")</f>
        <v>1</v>
      </c>
      <c r="AV77" s="1">
        <v>1</v>
      </c>
      <c r="AX77" s="1">
        <f>COUNTIF(AX$8:AX$51,"HĐTN")</f>
        <v>1</v>
      </c>
      <c r="AY77" s="1">
        <v>1</v>
      </c>
      <c r="BA77" s="1">
        <f>COUNTIF(BA$8:BA$51,"HĐTN")</f>
        <v>1</v>
      </c>
      <c r="BB77" s="1">
        <v>1</v>
      </c>
      <c r="BD77" s="1">
        <f>COUNTIF(BD$8:BD$51,"HĐTN")</f>
        <v>1</v>
      </c>
      <c r="BE77" s="1">
        <v>1</v>
      </c>
      <c r="BG77" s="1">
        <f>COUNTIF(BG$8:BG$51,"HĐTN")</f>
        <v>1</v>
      </c>
      <c r="BH77" s="1">
        <v>1</v>
      </c>
      <c r="BJ77" s="1">
        <f>COUNTIF(BJ$8:BJ$51,"HĐTN")</f>
        <v>1</v>
      </c>
      <c r="BK77" s="1">
        <v>1</v>
      </c>
      <c r="BM77" s="1">
        <f>COUNTIF(BM$8:BM$51,"HĐTN")</f>
        <v>1</v>
      </c>
      <c r="BN77" s="1">
        <v>1</v>
      </c>
      <c r="BP77" s="1">
        <f>COUNTIF(BP$8:BP$51,"HĐTN")</f>
        <v>1</v>
      </c>
      <c r="BQ77" s="1">
        <v>1</v>
      </c>
      <c r="BS77" s="1">
        <f>COUNTIF(BS$8:BS$51,"HĐTN")</f>
        <v>1</v>
      </c>
      <c r="BT77" s="1">
        <v>1</v>
      </c>
      <c r="BV77" s="1">
        <f>COUNTIF(BV$8:BV$51,"HĐTN")</f>
        <v>1</v>
      </c>
      <c r="BW77" s="1">
        <v>1</v>
      </c>
      <c r="BY77" s="1">
        <f>COUNTIF(BY$8:BY$51,"HĐTN")</f>
        <v>1</v>
      </c>
      <c r="BZ77" s="1">
        <v>1</v>
      </c>
      <c r="CB77" s="1">
        <f>COUNTIF(CB$8:CB$51,"HĐTN")</f>
        <v>1</v>
      </c>
      <c r="CC77" s="1">
        <v>1</v>
      </c>
      <c r="CE77" s="1">
        <f>COUNTIF(CE$8:CE$51,"HĐTN")</f>
        <v>1</v>
      </c>
      <c r="CF77" s="1">
        <v>1</v>
      </c>
      <c r="CH77" s="1">
        <f>COUNTIF(CH$8:CH$51,"HĐTN")</f>
        <v>1</v>
      </c>
      <c r="CI77" s="1">
        <v>1</v>
      </c>
      <c r="CK77" s="1">
        <f>COUNTIF(CK$8:CK$51,"HĐTN")</f>
        <v>1</v>
      </c>
      <c r="CL77" s="1">
        <v>1</v>
      </c>
      <c r="CN77" s="1">
        <f>COUNTIF(CN$8:CN$51,"HĐTN")</f>
        <v>1</v>
      </c>
      <c r="CO77" s="1">
        <v>1</v>
      </c>
      <c r="CQ77" s="1">
        <f>COUNTIF(CQ$8:CQ$51,"HĐTN")</f>
        <v>1</v>
      </c>
      <c r="CR77" s="49">
        <v>1</v>
      </c>
      <c r="CT77" s="1">
        <f>COUNTIF(CT$8:CT$51,"HĐTN")</f>
        <v>1</v>
      </c>
      <c r="CU77" s="49">
        <v>1</v>
      </c>
      <c r="CW77" s="1">
        <f>COUNTIF(CW$8:CW$51,"HĐTN")</f>
        <v>1</v>
      </c>
      <c r="CX77" s="49">
        <v>1</v>
      </c>
      <c r="CZ77" s="1">
        <f>COUNTIF(CZ$8:CZ$51,"HĐTN")</f>
        <v>1</v>
      </c>
      <c r="DA77" s="49">
        <v>1</v>
      </c>
      <c r="DC77" s="1">
        <f>COUNTIF(DC$8:DC$51,"HĐTN")</f>
        <v>1</v>
      </c>
      <c r="DD77" s="49">
        <v>1</v>
      </c>
      <c r="DH77" s="49">
        <v>1</v>
      </c>
      <c r="DL77" s="5">
        <f t="shared" si="61"/>
        <v>0</v>
      </c>
    </row>
    <row r="78" spans="3:116" ht="14.25" customHeight="1">
      <c r="E78" s="1">
        <f>SUM(E52:E77)</f>
        <v>36</v>
      </c>
      <c r="F78" s="1">
        <f t="shared" ref="F78:BN78" si="62">SUM(F52:F77)</f>
        <v>40</v>
      </c>
      <c r="G78" s="1">
        <f t="shared" si="62"/>
        <v>0</v>
      </c>
      <c r="H78" s="1">
        <f t="shared" si="62"/>
        <v>37</v>
      </c>
      <c r="I78" s="1">
        <f t="shared" si="62"/>
        <v>40</v>
      </c>
      <c r="J78" s="1">
        <f t="shared" si="62"/>
        <v>0</v>
      </c>
      <c r="K78" s="1">
        <f t="shared" si="62"/>
        <v>37</v>
      </c>
      <c r="L78" s="1">
        <f t="shared" si="62"/>
        <v>40</v>
      </c>
      <c r="M78" s="1">
        <f t="shared" si="62"/>
        <v>0</v>
      </c>
      <c r="N78" s="1">
        <f t="shared" si="62"/>
        <v>37</v>
      </c>
      <c r="O78" s="1">
        <f t="shared" si="62"/>
        <v>40</v>
      </c>
      <c r="P78" s="1">
        <f t="shared" si="62"/>
        <v>0</v>
      </c>
      <c r="Q78" s="1">
        <f t="shared" si="62"/>
        <v>37</v>
      </c>
      <c r="R78" s="1">
        <f t="shared" si="62"/>
        <v>45</v>
      </c>
      <c r="S78" s="1">
        <f t="shared" si="62"/>
        <v>0</v>
      </c>
      <c r="T78" s="1">
        <f t="shared" si="62"/>
        <v>37</v>
      </c>
      <c r="U78" s="1">
        <f t="shared" si="62"/>
        <v>45</v>
      </c>
      <c r="V78" s="1">
        <f t="shared" si="62"/>
        <v>0</v>
      </c>
      <c r="W78" s="1">
        <f t="shared" si="62"/>
        <v>37</v>
      </c>
      <c r="X78" s="1">
        <f t="shared" si="62"/>
        <v>45</v>
      </c>
      <c r="Y78" s="1">
        <f t="shared" si="62"/>
        <v>0</v>
      </c>
      <c r="Z78" s="1">
        <f t="shared" si="62"/>
        <v>37</v>
      </c>
      <c r="AA78" s="1">
        <f t="shared" si="62"/>
        <v>45</v>
      </c>
      <c r="AB78" s="1">
        <f t="shared" si="62"/>
        <v>0</v>
      </c>
      <c r="AC78" s="1">
        <f t="shared" si="62"/>
        <v>37</v>
      </c>
      <c r="AD78" s="1">
        <f t="shared" si="62"/>
        <v>45</v>
      </c>
      <c r="AE78" s="1">
        <f t="shared" si="62"/>
        <v>0</v>
      </c>
      <c r="AF78" s="1">
        <f t="shared" si="62"/>
        <v>37</v>
      </c>
      <c r="AG78" s="1">
        <f t="shared" si="62"/>
        <v>45</v>
      </c>
      <c r="AH78" s="1">
        <f t="shared" si="62"/>
        <v>0</v>
      </c>
      <c r="AI78" s="1">
        <f t="shared" si="62"/>
        <v>37</v>
      </c>
      <c r="AJ78" s="1">
        <f t="shared" si="62"/>
        <v>43</v>
      </c>
      <c r="AK78" s="1">
        <f t="shared" si="62"/>
        <v>0</v>
      </c>
      <c r="AL78" s="1">
        <f t="shared" si="62"/>
        <v>37</v>
      </c>
      <c r="AM78" s="1">
        <f t="shared" si="62"/>
        <v>43</v>
      </c>
      <c r="AN78" s="1">
        <f t="shared" si="62"/>
        <v>0</v>
      </c>
      <c r="AO78" s="1">
        <f t="shared" si="62"/>
        <v>37</v>
      </c>
      <c r="AP78" s="1">
        <f t="shared" si="62"/>
        <v>43</v>
      </c>
      <c r="AQ78" s="1">
        <f t="shared" si="62"/>
        <v>0</v>
      </c>
      <c r="AR78" s="1">
        <f t="shared" si="62"/>
        <v>37</v>
      </c>
      <c r="AS78" s="1">
        <f t="shared" si="62"/>
        <v>43</v>
      </c>
      <c r="AT78" s="1">
        <f t="shared" si="62"/>
        <v>0</v>
      </c>
      <c r="AU78" s="1">
        <f t="shared" si="62"/>
        <v>37</v>
      </c>
      <c r="AV78" s="1">
        <f t="shared" si="62"/>
        <v>45</v>
      </c>
      <c r="AW78" s="1">
        <f t="shared" si="62"/>
        <v>0</v>
      </c>
      <c r="AX78" s="1">
        <f t="shared" si="62"/>
        <v>38</v>
      </c>
      <c r="AY78" s="1">
        <f t="shared" si="62"/>
        <v>45</v>
      </c>
      <c r="AZ78" s="1">
        <f t="shared" si="62"/>
        <v>0</v>
      </c>
      <c r="BA78" s="1">
        <f t="shared" si="62"/>
        <v>38</v>
      </c>
      <c r="BB78" s="1">
        <f t="shared" si="62"/>
        <v>45</v>
      </c>
      <c r="BC78" s="1">
        <f t="shared" si="62"/>
        <v>0</v>
      </c>
      <c r="BD78" s="1">
        <f t="shared" si="62"/>
        <v>36</v>
      </c>
      <c r="BE78" s="1">
        <f t="shared" si="62"/>
        <v>45</v>
      </c>
      <c r="BF78" s="1">
        <f t="shared" si="62"/>
        <v>0</v>
      </c>
      <c r="BG78" s="1">
        <f t="shared" si="62"/>
        <v>38</v>
      </c>
      <c r="BH78" s="1">
        <f t="shared" si="62"/>
        <v>45</v>
      </c>
      <c r="BI78" s="1">
        <f t="shared" si="62"/>
        <v>0</v>
      </c>
      <c r="BJ78" s="1">
        <f t="shared" si="62"/>
        <v>39</v>
      </c>
      <c r="BK78" s="1">
        <f t="shared" si="62"/>
        <v>40</v>
      </c>
      <c r="BL78" s="1">
        <f t="shared" si="62"/>
        <v>0</v>
      </c>
      <c r="BM78" s="1">
        <f t="shared" si="62"/>
        <v>39</v>
      </c>
      <c r="BN78" s="1">
        <f t="shared" si="62"/>
        <v>24</v>
      </c>
      <c r="BO78" s="1">
        <f t="shared" ref="BO78:DH78" si="63">SUM(BO52:BO77)</f>
        <v>0</v>
      </c>
      <c r="BP78" s="1">
        <f t="shared" si="63"/>
        <v>39</v>
      </c>
      <c r="BQ78" s="1">
        <f t="shared" si="63"/>
        <v>24</v>
      </c>
      <c r="BR78" s="1">
        <f t="shared" si="63"/>
        <v>0</v>
      </c>
      <c r="BS78" s="1">
        <f t="shared" si="63"/>
        <v>39</v>
      </c>
      <c r="BT78" s="1">
        <f t="shared" si="63"/>
        <v>24</v>
      </c>
      <c r="BU78" s="1">
        <f t="shared" si="63"/>
        <v>0</v>
      </c>
      <c r="BV78" s="1">
        <f t="shared" si="63"/>
        <v>39</v>
      </c>
      <c r="BW78" s="1">
        <f t="shared" si="63"/>
        <v>24</v>
      </c>
      <c r="BX78" s="1">
        <f t="shared" si="63"/>
        <v>0</v>
      </c>
      <c r="BY78" s="1">
        <f t="shared" si="63"/>
        <v>39</v>
      </c>
      <c r="BZ78" s="1">
        <f t="shared" si="63"/>
        <v>24</v>
      </c>
      <c r="CA78" s="1">
        <f t="shared" si="63"/>
        <v>0</v>
      </c>
      <c r="CB78" s="1">
        <f t="shared" si="63"/>
        <v>39</v>
      </c>
      <c r="CC78" s="1">
        <f t="shared" si="63"/>
        <v>24</v>
      </c>
      <c r="CD78" s="1">
        <f t="shared" si="63"/>
        <v>0</v>
      </c>
      <c r="CE78" s="1">
        <f t="shared" si="63"/>
        <v>39</v>
      </c>
      <c r="CF78" s="1">
        <f t="shared" si="63"/>
        <v>24</v>
      </c>
      <c r="CG78" s="1">
        <f t="shared" si="63"/>
        <v>0</v>
      </c>
      <c r="CH78" s="1">
        <f t="shared" si="63"/>
        <v>40</v>
      </c>
      <c r="CI78" s="1">
        <f t="shared" si="63"/>
        <v>24</v>
      </c>
      <c r="CJ78" s="1">
        <f t="shared" si="63"/>
        <v>0</v>
      </c>
      <c r="CK78" s="1">
        <f t="shared" ref="CK78:CP78" si="64">SUM(CK52:CK77)</f>
        <v>36</v>
      </c>
      <c r="CL78" s="1">
        <f t="shared" si="64"/>
        <v>24</v>
      </c>
      <c r="CM78" s="1">
        <f t="shared" si="64"/>
        <v>0</v>
      </c>
      <c r="CN78" s="1">
        <f t="shared" si="64"/>
        <v>39</v>
      </c>
      <c r="CO78" s="1">
        <f t="shared" si="64"/>
        <v>24</v>
      </c>
      <c r="CP78" s="1">
        <f t="shared" si="64"/>
        <v>0</v>
      </c>
      <c r="CQ78" s="1">
        <f t="shared" si="63"/>
        <v>33</v>
      </c>
      <c r="CR78" s="1">
        <f t="shared" si="63"/>
        <v>40</v>
      </c>
      <c r="CS78" s="1">
        <f t="shared" si="63"/>
        <v>0</v>
      </c>
      <c r="CT78" s="1">
        <f t="shared" si="63"/>
        <v>33</v>
      </c>
      <c r="CU78" s="1">
        <f t="shared" si="63"/>
        <v>40</v>
      </c>
      <c r="CV78" s="1">
        <f t="shared" si="63"/>
        <v>0</v>
      </c>
      <c r="CW78" s="1">
        <f t="shared" si="63"/>
        <v>21</v>
      </c>
      <c r="CX78" s="1">
        <f t="shared" si="63"/>
        <v>40</v>
      </c>
      <c r="CY78" s="1">
        <f t="shared" si="63"/>
        <v>0</v>
      </c>
      <c r="CZ78" s="1">
        <f t="shared" si="63"/>
        <v>22</v>
      </c>
      <c r="DA78" s="1">
        <f t="shared" si="63"/>
        <v>40</v>
      </c>
      <c r="DB78" s="1">
        <f t="shared" si="63"/>
        <v>0</v>
      </c>
      <c r="DC78" s="1">
        <f t="shared" ref="DC78:DD78" si="65">SUM(DC52:DC77)</f>
        <v>22</v>
      </c>
      <c r="DD78" s="1">
        <f t="shared" si="65"/>
        <v>40</v>
      </c>
      <c r="DH78" s="1">
        <f t="shared" si="63"/>
        <v>38</v>
      </c>
    </row>
    <row r="81" spans="62:94" ht="14.25" customHeight="1">
      <c r="BJ81" s="1" t="s">
        <v>126</v>
      </c>
      <c r="BK81" s="1" t="s">
        <v>80</v>
      </c>
      <c r="CN81" s="42" t="s">
        <v>134</v>
      </c>
      <c r="CO81" s="42" t="s">
        <v>166</v>
      </c>
      <c r="CP81" s="42"/>
    </row>
    <row r="82" spans="62:94" ht="14.25" customHeight="1">
      <c r="CN82" s="42" t="s">
        <v>134</v>
      </c>
      <c r="CO82" s="42" t="s">
        <v>166</v>
      </c>
      <c r="CP82" s="42"/>
    </row>
    <row r="86" spans="62:94" ht="14.25" customHeight="1">
      <c r="CK86" s="42" t="s">
        <v>126</v>
      </c>
      <c r="CL86" s="42" t="s">
        <v>106</v>
      </c>
    </row>
  </sheetData>
  <autoFilter ref="A7:FH78" xr:uid="{00000000-0001-0000-0000-000000000000}"/>
  <mergeCells count="76">
    <mergeCell ref="DC5:DE5"/>
    <mergeCell ref="DC6:DE6"/>
    <mergeCell ref="T5:V5"/>
    <mergeCell ref="T6:V6"/>
    <mergeCell ref="CE5:CG5"/>
    <mergeCell ref="CT5:CV5"/>
    <mergeCell ref="BA5:BC5"/>
    <mergeCell ref="BM6:BO6"/>
    <mergeCell ref="BV6:BX6"/>
    <mergeCell ref="BD6:BF6"/>
    <mergeCell ref="BG6:BI6"/>
    <mergeCell ref="BJ6:BL6"/>
    <mergeCell ref="AR5:AT5"/>
    <mergeCell ref="AL5:AN5"/>
    <mergeCell ref="AO5:AQ5"/>
    <mergeCell ref="BD5:BF5"/>
    <mergeCell ref="CQ5:CS5"/>
    <mergeCell ref="CW5:CY5"/>
    <mergeCell ref="BG5:BI5"/>
    <mergeCell ref="BJ5:BL5"/>
    <mergeCell ref="BS5:BU5"/>
    <mergeCell ref="BY5:CA5"/>
    <mergeCell ref="CB5:CD5"/>
    <mergeCell ref="CH5:CJ5"/>
    <mergeCell ref="BV5:BX5"/>
    <mergeCell ref="CK5:CM5"/>
    <mergeCell ref="CN5:CP5"/>
    <mergeCell ref="BM5:BO5"/>
    <mergeCell ref="BP5:BR5"/>
    <mergeCell ref="BP6:BR6"/>
    <mergeCell ref="B35:B42"/>
    <mergeCell ref="B44:B51"/>
    <mergeCell ref="CW6:CY6"/>
    <mergeCell ref="CZ6:DB6"/>
    <mergeCell ref="B8:B15"/>
    <mergeCell ref="B17:B24"/>
    <mergeCell ref="B26:B33"/>
    <mergeCell ref="CB6:CD6"/>
    <mergeCell ref="CH6:CJ6"/>
    <mergeCell ref="CN6:CP6"/>
    <mergeCell ref="CQ6:CS6"/>
    <mergeCell ref="BY6:CA6"/>
    <mergeCell ref="AR6:AT6"/>
    <mergeCell ref="AL6:AN6"/>
    <mergeCell ref="AO6:AQ6"/>
    <mergeCell ref="AU6:AW6"/>
    <mergeCell ref="AX6:AZ6"/>
    <mergeCell ref="B2:D2"/>
    <mergeCell ref="B3:D3"/>
    <mergeCell ref="E5:G5"/>
    <mergeCell ref="H5:J5"/>
    <mergeCell ref="E6:G6"/>
    <mergeCell ref="H6:J6"/>
    <mergeCell ref="N6:P6"/>
    <mergeCell ref="Q6:S6"/>
    <mergeCell ref="K5:M5"/>
    <mergeCell ref="N5:P5"/>
    <mergeCell ref="Q5:S5"/>
    <mergeCell ref="K6:M6"/>
    <mergeCell ref="AX5:AZ5"/>
    <mergeCell ref="DF6:DJ6"/>
    <mergeCell ref="DF5:DJ5"/>
    <mergeCell ref="CZ5:DB5"/>
    <mergeCell ref="W6:Y6"/>
    <mergeCell ref="AI5:AK5"/>
    <mergeCell ref="AF6:AH6"/>
    <mergeCell ref="CK6:CM6"/>
    <mergeCell ref="BS6:BU6"/>
    <mergeCell ref="AF5:AH5"/>
    <mergeCell ref="W5:Y5"/>
    <mergeCell ref="AI6:AK6"/>
    <mergeCell ref="Z5:AB5"/>
    <mergeCell ref="AC5:AE5"/>
    <mergeCell ref="Z6:AB6"/>
    <mergeCell ref="AC6:AE6"/>
    <mergeCell ref="AU5:AW5"/>
  </mergeCells>
  <conditionalFormatting sqref="C12">
    <cfRule type="duplicateValues" dxfId="130" priority="341"/>
  </conditionalFormatting>
  <conditionalFormatting sqref="C13">
    <cfRule type="duplicateValues" dxfId="129" priority="340"/>
  </conditionalFormatting>
  <conditionalFormatting sqref="D8 DD8:DJ8 DA8:DB8 CX8:CY8 CU8:CV8 CR8:CS8 CO8:CP8 CL8:CM8 CI8:CJ8 CF8:CG8 CC8:CD8 BZ8:CA8 BW8:BX8 BT8:BU8 BQ8:BR8 BN8:BO8 BK8:BL8 BH8:BI8 BE8:BF8 BB8:BC8 AY8:AZ8 AV8:AW8 AS8:AT8 AP8:AQ8 AM8:AN8 AJ8:AK8 AG8:AH8 AD8:AE8 AA8:AB8 X8:Y8 U8:V8 R8:S8 O8:P8 L8:M8 I8:J8 F8:G8">
    <cfRule type="duplicateValues" dxfId="128" priority="103"/>
  </conditionalFormatting>
  <conditionalFormatting sqref="D8">
    <cfRule type="duplicateValues" dxfId="127" priority="153"/>
  </conditionalFormatting>
  <conditionalFormatting sqref="D9 DD9:DJ9 DA9:DB9 CX9:CY9 CU9:CV9 CR9:CS9 CO9:CP9 CL9:CM9 CI9:CJ9 CF9:CG9 CC9:CD9 BZ9:CA9 BW9:BX9 BT9:BU9 BQ9:BR9 BN9:BO9 BK9:BL9 BH9:BI9 BE9:BF9 BB9:BC9 AY9:AZ9 AV9:AW9 AS9:AT9 AP9:AQ9 AM9:AN9 AJ9:AK9 AG9:AH9 AD9:AE9 AA9:AB9 X9:Y9 U9:V9 R9:S9 O9:P9 L9:M9 I9:J9 F9:G9">
    <cfRule type="duplicateValues" dxfId="126" priority="102"/>
  </conditionalFormatting>
  <conditionalFormatting sqref="D9">
    <cfRule type="duplicateValues" dxfId="125" priority="152"/>
  </conditionalFormatting>
  <conditionalFormatting sqref="D10 DD10:DJ10 DA10:DB10 CX10:CY10 CU10:CV10 CR10:CS10 CO10:CP10 CL10:CM10 CI10:CJ10 CF10:CG10 CC10:CD10 BZ10:CA10 BW10:BX10 BT10:BU10 BQ10:BR10 BN10:BO10 BK10:BL10 BH10:BI10 BE10:BF10 BB10:BC10 AY10:AZ10 AV10:AW10 AS10:AT10 AP10:AQ10 AM10:AN10 AJ10:AK10 AG10:AH10 AD10:AE10 AA10:AB10 X10:Y10 U10:V10 R10:S10 O10:P10 L10:M10 I10:J10 F10:G10">
    <cfRule type="duplicateValues" dxfId="124" priority="101"/>
  </conditionalFormatting>
  <conditionalFormatting sqref="D10">
    <cfRule type="duplicateValues" dxfId="123" priority="151"/>
  </conditionalFormatting>
  <conditionalFormatting sqref="D11 DD11:DJ11 DA11:DB11 CX11:CY11 CU11:CV11 CR11:CS11 CO11:CP11 CL11:CM11 CI11:CJ11 CF11:CG11 CC11:CD11 BZ11:CA11 BW11:BX11 BT11:BU11 BQ11:BR11 BN11:BO11 BK11:BL11 BH11:BI11 BE11:BF11 BB11:BC11 AY11:AZ11 AV11:AW11 AS11:AT11 AP11:AQ11 AM11:AN11 AJ11:AK11 AG11:AH11 AD11:AE11 AA11:AB11 X11:Y11 U11:V11 R11:S11 O11:P11 L11:M11 I11:J11 F11:G11">
    <cfRule type="duplicateValues" dxfId="122" priority="100"/>
  </conditionalFormatting>
  <conditionalFormatting sqref="D11">
    <cfRule type="duplicateValues" dxfId="121" priority="150"/>
  </conditionalFormatting>
  <conditionalFormatting sqref="D12 DD12:DJ12 DA12:DB12 CX12:CY12 CU12:CV12 CR12:CS12 CO12:CP12 CL12:CM12 CI12:CJ12 CF12:CG12 CC12:CD12 BZ12:CA12 BW12:BX12 BT12:BU12 BQ12:BR12 BN12:BO12 BK12:BL12 BH12:BI12 BE12:BF12 BB12:BC12 AY12:AZ12 AV12:AW12 AS12:AT12 AP12:AQ12 AM12:AN12 AJ12:AK12 AG12:AH12 AD12:AE12 AA12:AB12 X12:Y12 U12:V12 R12:S12 O12:P12 L12:M12 I12:J12 F12:G12">
    <cfRule type="duplicateValues" dxfId="120" priority="99"/>
  </conditionalFormatting>
  <conditionalFormatting sqref="D12">
    <cfRule type="duplicateValues" dxfId="119" priority="149"/>
  </conditionalFormatting>
  <conditionalFormatting sqref="D13 DD13:DJ13 DA13:DB13 CX13:CY13 CU13:CV13 CR13:CS13 CO13:CP13 CL13:CM13 CI13:CJ13 CF13:CG13 CC13:CD13 BZ13:CA13 BW13:BX13 BT13:BU13 BQ13:BR13 BN13:BO13 BK13:BL13 BH13:BI13 BE13:BF13 BB13:BC13 AY13:AZ13 AV13:AW13 AS13:AT13 AP13:AQ13 AM13:AN13 AJ13:AK13 AG13:AH13 AD13:AE13 AA13:AB13 X13:Y13 U13:V13 R13:S13 O13:P13 L13:M13 I13:J13 F13:G13">
    <cfRule type="duplicateValues" dxfId="118" priority="98"/>
  </conditionalFormatting>
  <conditionalFormatting sqref="D13">
    <cfRule type="duplicateValues" dxfId="117" priority="148"/>
  </conditionalFormatting>
  <conditionalFormatting sqref="D14 DD14:DJ14 DA14:DB14 CX14:CY14 CU14:CV14 CR14:CS14 CO14:CP14 CL14:CM14 CI14:CJ14 CF14:CG14 CC14:CD14 BZ14:CA14 BW14:BX14 BT14:BU14 BQ14:BR14 BN14:BO14 BK14:BL14 BH14:BI14 BE14:BF14 BB14:BC14 AY14:AZ14 AV14:AW14 AS14:AT14 AP14:AQ14 AM14:AN14 AJ14:AK14 AG14:AH14 AD14:AE14 AA14:AB14 X14:Y14 U14:V14 R14:S14 O14:P14 L14:M14 I14:J14 F14:G14">
    <cfRule type="duplicateValues" dxfId="116" priority="97"/>
  </conditionalFormatting>
  <conditionalFormatting sqref="D14">
    <cfRule type="duplicateValues" dxfId="115" priority="147"/>
  </conditionalFormatting>
  <conditionalFormatting sqref="D15 DD15:DJ15 DA15:DB15 CY15 CU15:CV15 CR15:CS15 CO15:CP15 CL15:CM15 CI15:CJ15 CF15:CG15 CC15:CD15 BZ15:CA15 BW15:BX15 BT15:BU15 BQ15:BR15 BN15:BO15 BK15:BL15 BH15:BI15 BE15:BF15 BB15:BC15 AY15:AZ15 AV15:AW15 AS15:AT15 AP15:AQ15 AM15:AN15 AJ15:AK15 AG15:AH15 AD15:AE15 AA15:AB15 X15:Y15 U15:V15 R15:S15 O15:P15 L15:M15 I15:J15 F15:G15">
    <cfRule type="duplicateValues" dxfId="114" priority="96"/>
  </conditionalFormatting>
  <conditionalFormatting sqref="D15">
    <cfRule type="duplicateValues" dxfId="113" priority="146"/>
  </conditionalFormatting>
  <conditionalFormatting sqref="D17 DD17:DJ17 DA17:DB17 CX17:CY17 CU17:CV17 CR17:CS17 CO17:CP17 CL17:CM17 CI17:CJ17 CF17:CG17 CC17:CD17 BZ17:CA17 BW17:BX17 BT17:BU17 BQ17:BR17 BN17:BO17 BK17:BL17 BH17:BI17 BE17:BF17 BB17:BC17 AY17:AZ17 AV17:AW17 AS17:AT17 AP17:AQ17 AM17:AN17 AJ17:AK17 AG17:AH17 AD17:AE17 AA17:AB17 X17:Y17 U17:V17 R17:S17 O17:P17 L17:M17 I17:J17 F17:G17">
    <cfRule type="duplicateValues" dxfId="112" priority="95"/>
  </conditionalFormatting>
  <conditionalFormatting sqref="D17">
    <cfRule type="duplicateValues" dxfId="111" priority="145"/>
  </conditionalFormatting>
  <conditionalFormatting sqref="D18 DD18:DJ18 DA18:DB18 CX18:CY18 CU18:CV18 CR18:CS18 CO18:CP18 CL18:CM18 CI18:CJ18 CF18:CG18 CC18:CD18 BZ18:CA18 BW18:BX18 BT18:BU18 BQ18:BR18 BN18:BO18 BK18:BL18 BH18:BI18 BE18:BF18 BB18:BC18 AY18:AZ18 AV18:AW18 AS18:AT18 AP18:AQ18 AM18:AN18 AJ18:AK18 AG18:AH18 AD18:AE18 AA18:AB18 X18:Y18 U18:V18 R18:S18 O18:P18 L18:M18 I18:J18 F18:G18">
    <cfRule type="duplicateValues" dxfId="110" priority="94"/>
  </conditionalFormatting>
  <conditionalFormatting sqref="D18">
    <cfRule type="duplicateValues" dxfId="109" priority="144"/>
  </conditionalFormatting>
  <conditionalFormatting sqref="D19 DD19:DJ19 DA19:DB19 CX19:CY19 CU19:CV19 CR19:CS19 CO19:CP19 CL19:CM19 CI19:CJ19 CF19:CG19 CC19:CD19 BZ19:CA19 BW19:BX19 BT19:BU19 BQ19:BR19 BN19:BO19 BK19:BL19 BH19:BI19 BE19:BF19 BB19:BC19 AY19:AZ19 AV19:AW19 AS19:AT19 AP19:AQ19 AM19:AN19 AJ19:AK19 AG19:AH19 AD19:AE19 AA19:AB19 X19:Y19 U19:V19 R19:S19 O19:P19 L19:M19 I19:J19 F19:G19">
    <cfRule type="duplicateValues" dxfId="108" priority="93"/>
  </conditionalFormatting>
  <conditionalFormatting sqref="D19">
    <cfRule type="duplicateValues" dxfId="107" priority="143"/>
  </conditionalFormatting>
  <conditionalFormatting sqref="D20 DD20:DJ20 DA20:DB20 CX20:CY20 CU20:CV20 CR20:CS20 CO20:CP20 CL20:CM20 CI20:CJ20 CF20:CG20 CC20:CD20 BZ20:CA20 BW20:BX20 BT20:BU20 BQ20:BR20 BN20:BO20 BK20:BL20 BH20:BI20 BE20:BF20 BB20:BC20 AY20:AZ20 AV20:AW20 AS20:AT20 AP20:AQ20 AM20:AN20 AJ20:AK20 AG20:AH20 AD20:AE20 AA20:AB20 X20:Y20 U20:V20 R20:S20 O20:P20 L20:M20 I20:J20 F20:G20">
    <cfRule type="duplicateValues" dxfId="106" priority="92"/>
  </conditionalFormatting>
  <conditionalFormatting sqref="D20">
    <cfRule type="duplicateValues" dxfId="105" priority="142"/>
  </conditionalFormatting>
  <conditionalFormatting sqref="D21 DE21:DJ21 DA21:DB21 CX21:CY21 CU21:CV21 CR21:CS21 CO21:CP21 CL21:CM21 CI21:CJ21 CF21:CG21 CC21:CD21 BZ21:CA21 BW21:BX21 BT21:BU21 BQ21:BR21 BN21:BO21 BK21:BL21 BH21:BI21 BE21:BF21 BB21:BC21 AY21:AZ21 AV21:AW21 AS21:AT21 AP21:AQ21 AM21:AN21 AJ21:AK21 AG21:AH21 AD21:AE21 AA21:AB21 X21:Y21 U21:V21 R21:S21 O21:P21 L21:M21 I21:J21 F21:G21">
    <cfRule type="duplicateValues" dxfId="104" priority="91"/>
  </conditionalFormatting>
  <conditionalFormatting sqref="D21">
    <cfRule type="duplicateValues" dxfId="103" priority="141"/>
  </conditionalFormatting>
  <conditionalFormatting sqref="D22 DD22:DJ22 DA22:DB22 CX22:CY22 CU22:CV22 CR22:CS22 CO22:CP22 CL22:CM22 CI22:CJ22 CF22:CG22 CC22:CD22 BZ22:CA22 BW22:BX22 BT22:BU22 BQ22:BR22 BN22:BO22 BK22:BL22 BH22:BI22 BE22:BF22 BB22:BC22 AY22:AZ22 AV22:AW22 AS22:AT22 AP22:AQ22 AM22:AN22 AJ22:AK22 AG22:AH22 AD22:AE22 AA22:AB22 X22:Y22 U22:V22 R22:S22 O22:P22 L22:M22 I22:J22 F22:G22">
    <cfRule type="duplicateValues" dxfId="102" priority="90"/>
  </conditionalFormatting>
  <conditionalFormatting sqref="D22">
    <cfRule type="duplicateValues" dxfId="101" priority="140"/>
  </conditionalFormatting>
  <conditionalFormatting sqref="D23 DD23:DJ23 DA23:DB23 CX23:CY23 CR23:CS23 CO23:CP23 CL23:CM23 CI23:CJ23 CF23:CG23 CC23:CD23 BZ23:CA23 BW23:BX23 BT23:BU23 BQ23:BR23 BN23:BO23 BK23:BL23 BH23:BI23 BE23:BF23 BB23:BC23 AY23:AZ23 AV23:AW23 AS23:AT23 AP23:AQ23 AM23:AN23 AJ23:AK23 AG23:AH23 AD23:AE23 AA23:AB23 X23:Y23 U23:V23 R23:S23 O23:P23 L23:M23 I23:J23 F23:G23">
    <cfRule type="duplicateValues" dxfId="100" priority="89"/>
  </conditionalFormatting>
  <conditionalFormatting sqref="D23">
    <cfRule type="duplicateValues" dxfId="99" priority="139"/>
  </conditionalFormatting>
  <conditionalFormatting sqref="D24 DD24:DJ24 DA24:DB24 CX24:CY24 CR24:CS24 CO24:CP24 CL24:CM24 CI24:CJ24 CF24:CG24 CC24:CD24 BZ24:CA24 BW24:BX24 BT24:BU24 BQ24:BR24 BN24:BO24 BK24:BL24 BH24:BI24 BE24:BF24 BB24:BC24 AY24:AZ24 AV24:AW24 AS24:AT24 AP24:AQ24 AM24:AN24 AJ24:AK24 AG24:AH24 AD24:AE24 AA24:AB24 X24:Y24 U24:V24 R24:S24 O24:P24 L24:M24 I24:J24 F24:G24">
    <cfRule type="duplicateValues" dxfId="98" priority="88"/>
  </conditionalFormatting>
  <conditionalFormatting sqref="D24">
    <cfRule type="duplicateValues" dxfId="97" priority="138"/>
  </conditionalFormatting>
  <conditionalFormatting sqref="D26 DD26:DJ26 DA26:DB26 CX26:CY26 CU26:CV26 CR26:CS26 CO26:CP26 CL26:CM26 CI26:CJ26 CF26:CG26 CC26:CD26 BZ26:CA26 BW26:BX26 BT26:BU26 BQ26:BR26 BN26:BO26 BK26:BL26 BH26:BI26 BE26:BF26 BB26:BC26 AY26:AZ26 AV26:AW26 AS26:AT26 AP26:AQ26 AM26:AN26 AJ26:AK26 AG26:AH26 AD26:AE26 AA26:AB26 X26:Y26 U26:V26 R26:S26 O26:P26 L26:M26 I26:J26 F26:G26">
    <cfRule type="duplicateValues" dxfId="96" priority="87"/>
  </conditionalFormatting>
  <conditionalFormatting sqref="D26">
    <cfRule type="duplicateValues" dxfId="95" priority="137"/>
  </conditionalFormatting>
  <conditionalFormatting sqref="D27 DD27:DJ27 DA27:DB27 CX27:CY27 CU27:CV27 CR27:CS27 CO27:CP27 CL27:CM27 CI27:CJ27 CF27:CG27 CC27:CD27 BZ27:CA27 BW27:BX27 BT27:BU27 BQ27:BR27 BN27:BO27 BK27:BL27 BH27:BI27 BE27:BF27 BB27:BC27 AY27:AZ27 AV27:AW27 AS27:AT27 AP27:AQ27 AM27:AN27 AJ27:AK27 AG27:AH27 AD27:AE27 AA27:AB27 X27:Y27 U27:V27 R27:S27 O27:P27 L27:M27 I27:J27 F27:G27">
    <cfRule type="duplicateValues" dxfId="94" priority="86"/>
  </conditionalFormatting>
  <conditionalFormatting sqref="D27">
    <cfRule type="duplicateValues" dxfId="93" priority="136"/>
  </conditionalFormatting>
  <conditionalFormatting sqref="D28 DD28:DJ28 DA28:DB28 CX28:CY28 CU28:CV28 CR28:CS28 CO28:CP28 CL28:CM28 CI28:CJ28 CF28:CG28 CC28:CD28 BZ28:CA28 BW28:BX28 BT28:BU28 BQ28:BR28 BN28:BO28 BK28:BL28 BH28:BI28 BE28:BF28 BB28:BC28 AY28:AZ28 AV28:AW28 AS28:AT28 AP28:AQ28 AM28:AN28 AJ28:AK28 AG28:AH28 AD28:AE28 AA28:AB28 X28:Y28 U28:V28 R28:S28 O28:P28 L28:M28 I28:J28 F28:G28">
    <cfRule type="duplicateValues" dxfId="92" priority="85"/>
  </conditionalFormatting>
  <conditionalFormatting sqref="D28">
    <cfRule type="duplicateValues" dxfId="91" priority="135"/>
  </conditionalFormatting>
  <conditionalFormatting sqref="D29 DD29:DJ29 DA29:DB29 CX29:CY29 CU29:CV29 CR29:CS29 CO29:CP29 CL29:CM29 CI29:CJ29 CF29:CG29 CC29:CD29 BZ29:CA29 BW29:BX29 BT29:BU29 BQ29:BR29 BN29:BO29 BK29:BL29 BH29:BI29 BE29:BF29 BB29:BC29 AY29:AZ29 AV29:AW29 AS29:AT29 AP29:AQ29 AM29:AN29 AJ29:AK29 AG29:AH29 AD29:AE29 AA29:AB29 X29:Y29 U29:V29 R29:S29 O29:P29 L29:M29 I29:J29 F29:G29">
    <cfRule type="duplicateValues" dxfId="90" priority="84"/>
  </conditionalFormatting>
  <conditionalFormatting sqref="D29">
    <cfRule type="duplicateValues" dxfId="89" priority="134"/>
  </conditionalFormatting>
  <conditionalFormatting sqref="D30 DD30:DJ30 DA30:DB30 CX30:CY30 CU30:CV30 CR30:CS30 CO30:CP30 CL30:CM30 CI30:CJ30 CF30:CG30 CC30:CD30 BZ30:CA30 BW30:BX30 BT30:BU30 BQ30:BR30 BN30:BO30 BK30:BL30 BH30:BI30 BE30:BF30 BB30:BC30 AY30:AZ30 AV30:AW30 AS30:AT30 AP30:AQ30 AM30:AN30 AJ30:AK30 AG30:AH30 AD30:AE30 AA30:AB30 X30:Y30 U30:V30 R30:S30 O30:P30 L30:M30 I30:J30 F30:G30">
    <cfRule type="duplicateValues" dxfId="88" priority="83"/>
  </conditionalFormatting>
  <conditionalFormatting sqref="D30">
    <cfRule type="duplicateValues" dxfId="87" priority="133"/>
  </conditionalFormatting>
  <conditionalFormatting sqref="D31 DD31:DJ31 DA31:DB31 CX31:CY31 CU31:CV31 CR31:CS31 CO31:CP31 CL31:CM31 CI31:CJ31 CF31:CG31 CC31:CD31 BZ31:CA31 BW31:BX31 BT31:BU31 BQ31:BR31 BN31:BO31 BK31:BL31 BH31:BI31 BE31:BF31 BB31:BC31 AY31:AZ31 AV31:AW31 AS31:AT31 AP31:AQ31 AM31:AN31 AJ31:AK31 AG31:AH31 AD31:AE31 AA31:AB31 X31:Y31 U31:V31 R31:S31 O31:P31 L31:M31 I31:J31 F31:G31">
    <cfRule type="duplicateValues" dxfId="86" priority="82"/>
  </conditionalFormatting>
  <conditionalFormatting sqref="D31">
    <cfRule type="duplicateValues" dxfId="85" priority="132"/>
  </conditionalFormatting>
  <conditionalFormatting sqref="D32 DD32:DJ32 DA32:DB32 CX32:CY32 CU32:CV32 CR32:CS32 CO32:CP32 CL32:CM32 CI32:CJ32 CF32:CG32 CC32:CD32 BZ32:CA32 BW32:BX32 BT32:BU32 BQ32:BR32 BN32:BO32 BK32:BL32 BH32:BI32 BE32:BF32 BB32:BC32 AY32:AZ32 AV32:AW32 AS32:AT32 AP32:AQ32 AM32:AN32 AJ32:AK32 AG32:AH32 AD32:AE32 AA32:AB32 X32:Y32 U32:V32 R32:S32 O32:P32 L32:M32 I32:J32 F32:G32">
    <cfRule type="duplicateValues" dxfId="84" priority="81"/>
  </conditionalFormatting>
  <conditionalFormatting sqref="D32">
    <cfRule type="duplicateValues" dxfId="83" priority="131"/>
  </conditionalFormatting>
  <conditionalFormatting sqref="D33 DD33:DJ33 DA33:DB33 CX33:CY33 CU33:CV33 CR33:CS33 CO33:CP33 CL33:CM33 CI33:CJ33 CF33:CG33 CC33:CD33 BZ33:CA33 BW33:BX33 BT33:BU33 BQ33:BR33 BN33:BO33 BK33:BL33 BH33:BI33 BE33:BF33 BB33:BC33 AY33:AZ33 AV33:AW33 AS33:AT33 AP33:AQ33 AM33:AN33 AJ33:AK33 AG33:AH33 AD33:AE33 AA33:AB33 X33:Y33 U33:V33 R33:S33 O33:P33 L33:M33 I33:J33 F33:G33">
    <cfRule type="duplicateValues" dxfId="82" priority="80"/>
  </conditionalFormatting>
  <conditionalFormatting sqref="D33">
    <cfRule type="duplicateValues" dxfId="81" priority="130"/>
  </conditionalFormatting>
  <conditionalFormatting sqref="D35 DD35:DJ35 DA35:DB35 CX35:CY35 CU35:CV35 CR35:CS35 CO35:CP35 CL35:CM35 CI35:CJ35 CF35:CG35 CC35:CD35 BZ35:CA35 BW35:BX35 BT35:BU35 BQ35:BR35 BN35:BO35 BK35:BL35 BH35:BI35 BE35:BF35 BB35:BC35 AY35:AZ35 AV35:AW35 AS35:AT35 AP35:AQ35 AM35:AN35 AJ35:AK35 AG35:AH35 AD35:AE35 AA35:AB35 X35:Y35 U35:V35 R35:S35 O35:P35 L35:M35 I35:J35 F35:G35">
    <cfRule type="duplicateValues" dxfId="80" priority="79"/>
  </conditionalFormatting>
  <conditionalFormatting sqref="D35">
    <cfRule type="duplicateValues" dxfId="79" priority="129"/>
  </conditionalFormatting>
  <conditionalFormatting sqref="D36 DD36:DJ36 DA36:DB36 CX36:CY36 CU36:CV36 CR36:CS36 CO36:CP36 CL36:CM36 CI36:CJ36 CF36:CG36 CC36:CD36 BZ36:CA36 BW36:BX36 BT36:BU36 BQ36:BR36 BN36:BO36 BK36:BL36 BH36:BI36 BE36:BF36 BB36:BC36 AY36:AZ36 AV36:AW36 AS36:AT36 AP36:AQ36 AM36:AN36 AJ36:AK36 AG36:AH36 AD36:AE36 AA36:AB36 X36:Y36 U36:V36 R36:S36 O36:P36 L36:M36 I36:J36 F36:G36">
    <cfRule type="duplicateValues" dxfId="78" priority="78"/>
  </conditionalFormatting>
  <conditionalFormatting sqref="D36">
    <cfRule type="duplicateValues" dxfId="77" priority="128"/>
  </conditionalFormatting>
  <conditionalFormatting sqref="D37 DD37:DJ37 DA37:DB37 CX37:CY37 CU37:CV37 CR37:CS37 CO37:CP37 CL37:CM37 CI37:CJ37 CF37:CG37 CC37:CD37 BZ37:CA37 BW37:BX37 BT37:BU37 BQ37:BR37 BN37:BO37 BK37:BL37 BH37:BI37 BE37:BF37 BB37:BC37 AY37:AZ37 AV37:AW37 AS37:AT37 AP37:AQ37 AM37:AN37 AJ37:AK37 AG37:AH37 AD37:AE37 AA37:AB37 X37:Y37 U37:V37 R37:S37 O37:P37 L37:M37 I37:J37 F37:G37">
    <cfRule type="duplicateValues" dxfId="76" priority="77"/>
  </conditionalFormatting>
  <conditionalFormatting sqref="D37">
    <cfRule type="duplicateValues" dxfId="75" priority="127"/>
  </conditionalFormatting>
  <conditionalFormatting sqref="D38 DD38:DJ38 DA38:DB38 CX38:CY38 CU38:CV38 CR38:CS38 CO38:CP38 CL38:CM38 CI38:CJ38 CF38:CG38 CC38:CD38 BZ38:CA38 BW38:BX38 BT38:BU38 BQ38:BR38 BN38:BO38 BK38:BL38 BH38:BI38 BE38:BF38 BB38:BC38 AY38:AZ38 AV38:AW38 AS38:AT38 AP38:AQ38 AM38:AN38 AJ38:AK38 AG38:AH38 AD38:AE38 AA38:AB38 X38:Y38 U38:V38 R38:S38 O38:P38 L38:M38 I38:J38 F38:G38">
    <cfRule type="duplicateValues" dxfId="74" priority="76"/>
  </conditionalFormatting>
  <conditionalFormatting sqref="D38">
    <cfRule type="duplicateValues" dxfId="73" priority="126"/>
  </conditionalFormatting>
  <conditionalFormatting sqref="D39 DD39:DJ39 DA39:DB39 CX39:CY39 CU39:CV39 CR39:CS39 CO39:CP39 CL39:CM39 CI39:CJ39 CF39:CG39 CC39:CD39 BZ39:CA39 BW39:BX39 BT39:BU39 BQ39:BR39 BN39:BO39 BK39:BL39 BH39:BI39 BE39:BF39 BB39:BC39 AY39:AZ39 AV39:AW39 AS39:AT39 AP39:AQ39 AM39:AN39 AJ39:AK39 AG39:AH39 AD39:AE39 AA39:AB39 X39:Y39 U39:V39 R39:S39 O39:P39 L39:M39 I39:J39 F39:G39">
    <cfRule type="duplicateValues" dxfId="72" priority="75"/>
  </conditionalFormatting>
  <conditionalFormatting sqref="D39">
    <cfRule type="duplicateValues" dxfId="71" priority="125"/>
  </conditionalFormatting>
  <conditionalFormatting sqref="D40 DD40:DJ40 DA40:DB40 CX40:CY40 CU40:CV40 CR40:CS40 CO40:CP40 CL40:CM40 CI40:CJ40 CF40:CG40 CC40:CD40 BZ40:CA40 BW40:BX40 BT40:BU40 BQ40:BR40 BN40:BO40 BK40:BL40 BH40:BI40 BE40:BF40 BB40:BC40 AY40:AZ40 AV40:AW40 AS40:AT40 AP40:AQ40 AM40:AN40 AJ40:AK40 AG40:AH40 AD40:AE40 AA40:AB40 X40:Y40 U40:V40 R40:S40 O40:P40 L40:M40 I40:J40 F40:G40">
    <cfRule type="duplicateValues" dxfId="70" priority="74"/>
  </conditionalFormatting>
  <conditionalFormatting sqref="D40">
    <cfRule type="duplicateValues" dxfId="69" priority="124"/>
  </conditionalFormatting>
  <conditionalFormatting sqref="D41 DD41:DJ41 DA41:DB41 CX41:CY41 CU41:CV41 CR41:CS41 CO41:CP41 CL41:CM41 CI41:CJ41 CF41:CG41 CC41:CD41 BZ41:CA41 BW41:BX41 BT41:BU41 BQ41:BR41 BN41:BO41 BK41:BL41 BH41:BI41 BE41:BF41 BB41:BC41 AY41:AZ41 AV41:AW41 AS41:AT41 AP41:AQ41 AM41:AN41 AJ41:AK41 AG41:AH41 AD41:AE41 AA41:AB41 X41:Y41 U41:V41 R41:S41 O41:P41 L41:M41 I41:J41 F41:G41">
    <cfRule type="duplicateValues" dxfId="68" priority="73"/>
  </conditionalFormatting>
  <conditionalFormatting sqref="D41">
    <cfRule type="duplicateValues" dxfId="67" priority="123"/>
  </conditionalFormatting>
  <conditionalFormatting sqref="D42 DD42:DJ42 DA42:DB42 CX42:CY42 CU42:CV42 CR42:CS42 CO42:CP42 CL42:CM42 CI42:CJ42 CF42:CG42 CC42:CD42 BZ42:CA42 BW42:BX42 BT42:BU42 BQ42:BR42 BN42:BO42 BK42:BL42 BH42:BI42 BE42:BF42 BB42:BC42 AY42:AZ42 AV42:AW42 AS42:AT42 AP42:AQ42 AM42:AN42 AJ42:AK42 AG42:AH42 AD42:AE42 AA42:AB42 X42:Y42 U42:V42 R42:S42 O42:P42 L42:M42 I42:J42 F42:G42">
    <cfRule type="duplicateValues" dxfId="66" priority="72"/>
  </conditionalFormatting>
  <conditionalFormatting sqref="D42">
    <cfRule type="duplicateValues" dxfId="65" priority="122"/>
  </conditionalFormatting>
  <conditionalFormatting sqref="D44 DE44:DJ44 DB44 CY44 CV44 CR44:CS44 CO44:CP44 CL44:CM44 CI44:CJ44 CF44:CG44 CC44:CD44 BZ44:CA44 BW44:BX44 BT44:BU44 BQ44:BR44 BN44:BO44 BK44:BL44 BH44:BI44 BE44:BF44 BB44:BC44 AV44:AW44 AS44:AT44 AP44:AQ44 AM44:AN44 AJ44:AK44 AG44:AH44 AD44:AE44 AA44:AB44 X44:Y44 U44:V44 R44:S44 O44:P44 L44:M44 I44:J44 F44:G44 AZ44">
    <cfRule type="duplicateValues" dxfId="64" priority="71"/>
  </conditionalFormatting>
  <conditionalFormatting sqref="D44 DE44:DJ44 DB44 CY44 CV44 CR44:CS44 CO44:CP44 CL44:CM44 CI44:CJ44 CF44:CG44 CC44:CD44 BZ44:CA44 BW44:BX44 BT44:BU44 BQ44:BR44 BN44:BO44 BK44:BL44 BH44:BI44 BE44:BF44 BB44:BC44 AY44:AZ44 AV44:AW44 AS44:AT44 AP44:AQ44 AM44:AN44 AJ44:AK44 AG44:AH44 AD44:AE44 AA44:AB44 X44:Y44 U44:V44 R44:S44 O44:P44 L44:M44 I44:J44 F44:G44">
    <cfRule type="duplicateValues" dxfId="63" priority="60"/>
  </conditionalFormatting>
  <conditionalFormatting sqref="D44">
    <cfRule type="duplicateValues" dxfId="62" priority="121"/>
  </conditionalFormatting>
  <conditionalFormatting sqref="D45 DE45:DJ45 DA45:DB45 CY45 CV45 CR45:CS45 CO45:CP45 CL45:CM45 CI45:CJ45 CF45:CG45 CC45:CD45 BZ45:CA45 BW45:BX45 BT45:BU45 BQ45:BR45 BN45:BO45 BK45:BL45 BH45:BI45 BE45:BF45 BB45:BC45 AV45:AW45 AS45:AT45 AP45:AQ45 AM45:AN45 AJ45:AK45 AG45:AH45 AD45:AE45 AA45:AB45 X45:Y45 U45:V45 R45:S45 O45:P45 L45:M45 I45:J45 F45:G45 AZ45">
    <cfRule type="duplicateValues" dxfId="61" priority="70"/>
  </conditionalFormatting>
  <conditionalFormatting sqref="D45 DE45:DJ45 DA45:DB45 CY45 CV45 CR45:CS45 CO45:CP45 CL45:CM45 CI45:CJ45 CF45:CG45 CC45:CD45 BZ45:CA45 BW45:BX45 BT45:BU45 BQ45:BR45 BN45:BO45 BK45:BL45 BH45:BI45 BE45:BF45 BB45:BC45 AY45:AZ45 AV45:AW45 AS45:AT45 AP45:AQ45 AM45:AN45 AJ45:AK45 AG45:AH45 AD45:AE45 AA45:AB45 X45:Y45 U45:V45 R45:S45 O45:P45 L45:M45 I45:J45 F45:G45">
    <cfRule type="duplicateValues" dxfId="60" priority="59"/>
  </conditionalFormatting>
  <conditionalFormatting sqref="D45">
    <cfRule type="duplicateValues" dxfId="59" priority="120"/>
  </conditionalFormatting>
  <conditionalFormatting sqref="D46 DE46:DJ46 DA46:DB46 CY46 CU46:CV46 CS46 CO46:CP46 CL46:CM46 CI46:CJ46 CF46:CG46 CC46:CD46 BZ46:CA46 BW46:BX46 BT46:BU46 BQ46:BR46 BN46:BO46 BK46:BL46 BH46:BI46 BE46:BF46 BB46:BC46 AY46:AZ46 AV46:AW46 AS46:AT46 AP46:AQ46 AM46:AN46 AJ46:AK46 AG46:AH46 AD46:AE46 AA46:AB46 X46:Y46 U46:V46 R46:S46 O46:P46 L46:M46 I46:J46 F46:G46">
    <cfRule type="duplicateValues" dxfId="58" priority="69"/>
  </conditionalFormatting>
  <conditionalFormatting sqref="D46">
    <cfRule type="duplicateValues" dxfId="57" priority="119"/>
  </conditionalFormatting>
  <conditionalFormatting sqref="D47 DE47:DJ47 DA47:DB47 CY47 CU47:CV47 CS47 CO47:CP47 CL47:CM47 CI47:CJ47 CF47:CG47 CC47:CD47 BZ47:CA47 BW47:BX47 BT47:BU47 BQ47:BR47 BN47:BO47 BK47:BL47 BH47:BI47 BE47:BF47 BB47:BC47 AY47:AZ47 AV47:AW47 AS47:AT47 AP47:AQ47 AM47:AN47 AJ47:AK47 AG47:AH47 AD47:AE47 AA47:AB47 X47:Y47 U47:V47 R47:S47 O47:P47 L47:M47 I47:J47 F47:G47">
    <cfRule type="duplicateValues" dxfId="56" priority="68"/>
  </conditionalFormatting>
  <conditionalFormatting sqref="D47">
    <cfRule type="duplicateValues" dxfId="55" priority="118"/>
  </conditionalFormatting>
  <conditionalFormatting sqref="D48 DD48:DJ48 DA48:DB48 CX48:CY48 CV48 CS48 CO48:CP48 CL48:CM48 CI48:CJ48 CF48:CG48 CC48:CD48 BZ48:CA48 BW48:BX48 BT48:BU48 BQ48:BR48 BN48:BO48 BK48:BL48 BH48:BI48 BE48:BF48 BB48:BC48 AY48:AZ48 AV48:AW48 AS48:AT48 AP48:AQ48 AM48:AN48 AJ48:AK48 AG48:AH48 AD48:AE48 AA48:AB48 X48:Y48 U48:V48 R48:S48 O48:P48 L48:M48 I48:J48 F48:G48">
    <cfRule type="duplicateValues" dxfId="54" priority="67"/>
  </conditionalFormatting>
  <conditionalFormatting sqref="D48">
    <cfRule type="duplicateValues" dxfId="53" priority="117"/>
  </conditionalFormatting>
  <conditionalFormatting sqref="D49 DD49:DJ49 DA49:DB49 CX49:CY49 CV49 CS49 CO49:CP49 CL49:CM49 CI49:CJ49 CF49:CG49 CC49:CD49 BZ49:CA49 BW49:BX49 BT49:BU49 BQ49:BR49 BN49:BO49 BK49:BL49 BH49:BI49 BE49:BF49 BB49:BC49 AY49:AZ49 AV49:AW49 AS49:AT49 AP49:AQ49 AM49:AN49 AJ49:AK49 AG49:AH49 AD49:AE49 AA49:AB49 X49:Y49 U49:V49 R49:S49 O49:P49 L49:M49 I49:J49 F49:G49">
    <cfRule type="duplicateValues" dxfId="52" priority="66"/>
  </conditionalFormatting>
  <conditionalFormatting sqref="D49">
    <cfRule type="duplicateValues" dxfId="51" priority="116"/>
  </conditionalFormatting>
  <conditionalFormatting sqref="D50 DD50:DJ50 DA50:DB50 CX50:CY50 CU50:CV50 CR50:CS50 CO50:CP50 CL50:CM50 CI50:CJ50 CF50:CG50 CC50:CD50 BZ50:CA50 BW50:BX50 BT50:BU50 BQ50:BR50 BN50:BO50 BK50:BL50 BH50:BI50 BE50:BF50 BB50:BC50 AY50:AZ50 AV50:AW50 AS50:AT50 AP50:AQ50 AM50:AN50 AJ50:AK50 AG50:AH50 AD50:AE50 AA50:AB50 X50:Y50 U50:V50 R50:S50 O50:P50 L50:M50 I50:J50 F50:G50">
    <cfRule type="duplicateValues" dxfId="50" priority="65"/>
  </conditionalFormatting>
  <conditionalFormatting sqref="D50">
    <cfRule type="duplicateValues" dxfId="49" priority="115"/>
  </conditionalFormatting>
  <conditionalFormatting sqref="D51 DD51:DJ51 DA51:DB51 CX51:CY51 CU51:CV51 CR51:CS51 CO51:CP51 CL51:CM51 CI51:CJ51 CF51:CG51 CC51:CD51 BZ51:CA51 BW51:BX51 BT51:BU51 BQ51:BR51 BN51:BO51 BK51:BL51 BH51:BI51 BE51:BF51 BB51:BC51 AY51:AZ51 AV51:AW51 AS51:AT51 AP51:AQ51 AM51:AN51 AJ51:AK51 AG51:AH51 AD51:AE51 AA51:AB51 X51:Y51 U51:V51 R51:S51 O51:P51 L51:M51 I51:J51 F51:G51">
    <cfRule type="duplicateValues" dxfId="48" priority="64"/>
  </conditionalFormatting>
  <conditionalFormatting sqref="D51">
    <cfRule type="duplicateValues" dxfId="47" priority="114"/>
  </conditionalFormatting>
  <conditionalFormatting sqref="CL86">
    <cfRule type="duplicateValues" dxfId="46" priority="63"/>
  </conditionalFormatting>
  <conditionalFormatting sqref="CO81:CP81">
    <cfRule type="duplicateValues" dxfId="45" priority="42"/>
  </conditionalFormatting>
  <conditionalFormatting sqref="CO82:CP82">
    <cfRule type="duplicateValues" dxfId="44" priority="41"/>
  </conditionalFormatting>
  <conditionalFormatting sqref="CR46">
    <cfRule type="duplicateValues" dxfId="43" priority="18"/>
    <cfRule type="duplicateValues" dxfId="42" priority="16"/>
  </conditionalFormatting>
  <conditionalFormatting sqref="CR47">
    <cfRule type="duplicateValues" dxfId="41" priority="17"/>
    <cfRule type="duplicateValues" dxfId="40" priority="15"/>
  </conditionalFormatting>
  <conditionalFormatting sqref="CR48">
    <cfRule type="duplicateValues" dxfId="39" priority="20"/>
  </conditionalFormatting>
  <conditionalFormatting sqref="CR49">
    <cfRule type="duplicateValues" dxfId="38" priority="19"/>
  </conditionalFormatting>
  <conditionalFormatting sqref="CU44">
    <cfRule type="duplicateValues" dxfId="37" priority="22"/>
  </conditionalFormatting>
  <conditionalFormatting sqref="CU45">
    <cfRule type="duplicateValues" dxfId="36" priority="21"/>
  </conditionalFormatting>
  <conditionalFormatting sqref="CU48">
    <cfRule type="duplicateValues" dxfId="35" priority="24"/>
    <cfRule type="duplicateValues" dxfId="34" priority="26"/>
  </conditionalFormatting>
  <conditionalFormatting sqref="CU49">
    <cfRule type="duplicateValues" dxfId="33" priority="23"/>
    <cfRule type="duplicateValues" dxfId="32" priority="25"/>
  </conditionalFormatting>
  <conditionalFormatting sqref="CU23:CV23">
    <cfRule type="duplicateValues" dxfId="31" priority="4"/>
  </conditionalFormatting>
  <conditionalFormatting sqref="CU24:CV24">
    <cfRule type="duplicateValues" dxfId="30" priority="3"/>
  </conditionalFormatting>
  <conditionalFormatting sqref="CX15">
    <cfRule type="duplicateValues" dxfId="29" priority="6"/>
  </conditionalFormatting>
  <conditionalFormatting sqref="CX44">
    <cfRule type="duplicateValues" dxfId="28" priority="30"/>
  </conditionalFormatting>
  <conditionalFormatting sqref="CX45">
    <cfRule type="duplicateValues" dxfId="27" priority="29"/>
  </conditionalFormatting>
  <conditionalFormatting sqref="CX46">
    <cfRule type="duplicateValues" dxfId="26" priority="28"/>
  </conditionalFormatting>
  <conditionalFormatting sqref="CX47">
    <cfRule type="duplicateValues" dxfId="25" priority="27"/>
  </conditionalFormatting>
  <conditionalFormatting sqref="DA44">
    <cfRule type="duplicateValues" dxfId="24" priority="1"/>
    <cfRule type="duplicateValues" dxfId="23" priority="2"/>
  </conditionalFormatting>
  <conditionalFormatting sqref="DB2 DD2:DE2">
    <cfRule type="duplicateValues" dxfId="22" priority="864"/>
  </conditionalFormatting>
  <conditionalFormatting sqref="DB3 DD3:DE3">
    <cfRule type="duplicateValues" dxfId="21" priority="863"/>
  </conditionalFormatting>
  <conditionalFormatting sqref="DD21">
    <cfRule type="duplicateValues" dxfId="20" priority="5"/>
  </conditionalFormatting>
  <conditionalFormatting sqref="DD44">
    <cfRule type="duplicateValues" dxfId="19" priority="8"/>
    <cfRule type="duplicateValues" dxfId="18" priority="10"/>
  </conditionalFormatting>
  <conditionalFormatting sqref="DD45">
    <cfRule type="duplicateValues" dxfId="17" priority="7"/>
    <cfRule type="duplicateValues" dxfId="16" priority="9"/>
  </conditionalFormatting>
  <conditionalFormatting sqref="DD46">
    <cfRule type="duplicateValues" dxfId="15" priority="12"/>
    <cfRule type="duplicateValues" dxfId="14" priority="14"/>
  </conditionalFormatting>
  <conditionalFormatting sqref="DD47">
    <cfRule type="duplicateValues" dxfId="13" priority="13"/>
    <cfRule type="duplicateValues" dxfId="12" priority="11"/>
  </conditionalFormatting>
  <conditionalFormatting sqref="DF52:DF77">
    <cfRule type="cellIs" dxfId="11" priority="235" operator="notEqual">
      <formula>DI52</formula>
    </cfRule>
  </conditionalFormatting>
  <conditionalFormatting sqref="DG52:DG77">
    <cfRule type="cellIs" dxfId="10" priority="1890" operator="notEqual">
      <formula>DM52</formula>
    </cfRule>
  </conditionalFormatting>
  <conditionalFormatting sqref="DK8:DL8 DM8:FA51 FB8:FO59 DK9:DK62 DL9:DL77 EX52:FA53">
    <cfRule type="cellIs" dxfId="9" priority="111" operator="greaterThan">
      <formula>1</formula>
    </cfRule>
    <cfRule type="cellIs" dxfId="8" priority="110" operator="equal">
      <formula>1</formula>
    </cfRule>
  </conditionalFormatting>
  <conditionalFormatting sqref="DK5:FO5">
    <cfRule type="cellIs" dxfId="7" priority="337" operator="greaterThan">
      <formula>0</formula>
    </cfRule>
  </conditionalFormatting>
  <conditionalFormatting sqref="DK6:FO6">
    <cfRule type="containsText" dxfId="6" priority="1883" stopIfTrue="1" operator="containsText" text="lịch sử">
      <formula>NOT(ISERROR(SEARCH(("lịch sử"),(DK6))))</formula>
    </cfRule>
    <cfRule type="containsText" dxfId="5" priority="1884" stopIfTrue="1" operator="containsText" text="công nghệ">
      <formula>NOT(ISERROR(SEARCH(("công nghệ"),(DK6))))</formula>
    </cfRule>
    <cfRule type="containsText" dxfId="4" priority="1885" stopIfTrue="1" operator="containsText" text="sinh học">
      <formula>NOT(ISERROR(SEARCH(("sinh học"),(DK6))))</formula>
    </cfRule>
    <cfRule type="containsText" dxfId="3" priority="1886" stopIfTrue="1" operator="containsText" text="tiếng anh">
      <formula>NOT(ISERROR(SEARCH(("tiếng anh"),(DK6))))</formula>
    </cfRule>
    <cfRule type="containsText" dxfId="2" priority="1887" stopIfTrue="1" operator="containsText" text="tin học">
      <formula>NOT(ISERROR(SEARCH(("tin học"),(DK6))))</formula>
    </cfRule>
    <cfRule type="containsText" dxfId="1" priority="1888" stopIfTrue="1" operator="containsText" text="Thể Dục">
      <formula>NOT(ISERROR(SEARCH(("Thể Dục"),(DK6))))</formula>
    </cfRule>
    <cfRule type="containsText" dxfId="0" priority="1882" stopIfTrue="1" operator="containsText" text="an-mt">
      <formula>NOT(ISERROR(SEARCH(("an-mt"),(DK6))))</formula>
    </cfRule>
  </conditionalFormatting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0b9fd0-9fc4-4a41-8fc8-03eb75449f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B42C5501B1BBBE49AB490AC631911E42" ma:contentTypeVersion="19" ma:contentTypeDescription="Tạo tài liệu mới." ma:contentTypeScope="" ma:versionID="ba1e6e0d4644ed1c7269098a7b448615">
  <xsd:schema xmlns:xsd="http://www.w3.org/2001/XMLSchema" xmlns:xs="http://www.w3.org/2001/XMLSchema" xmlns:p="http://schemas.microsoft.com/office/2006/metadata/properties" xmlns:ns3="f50b9fd0-9fc4-4a41-8fc8-03eb75449f44" xmlns:ns4="bfee7b80-9104-493e-a365-59f925f31a1d" targetNamespace="http://schemas.microsoft.com/office/2006/metadata/properties" ma:root="true" ma:fieldsID="1273eb11b651ed2bdc9b2c47d9204c26" ns3:_="" ns4:_="">
    <xsd:import namespace="f50b9fd0-9fc4-4a41-8fc8-03eb75449f44"/>
    <xsd:import namespace="bfee7b80-9104-493e-a365-59f925f31a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b9fd0-9fc4-4a41-8fc8-03eb75449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e7b80-9104-493e-a365-59f925f31a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àm băm Gợi ý Chia sẻ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D7F9B1-7896-4C69-8D1C-D71C54F93B01}"/>
</file>

<file path=customXml/itemProps2.xml><?xml version="1.0" encoding="utf-8"?>
<ds:datastoreItem xmlns:ds="http://schemas.openxmlformats.org/officeDocument/2006/customXml" ds:itemID="{C306957B-5932-4168-AC7F-F81AD13A5CF6}"/>
</file>

<file path=customXml/itemProps3.xml><?xml version="1.0" encoding="utf-8"?>
<ds:datastoreItem xmlns:ds="http://schemas.openxmlformats.org/officeDocument/2006/customXml" ds:itemID="{D4EF0E8E-C1F3-4DEF-A3C7-BE8F6DA692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longtt</dc:creator>
  <cp:keywords/>
  <dc:description/>
  <cp:lastModifiedBy/>
  <cp:revision/>
  <dcterms:created xsi:type="dcterms:W3CDTF">2023-07-10T06:18:17Z</dcterms:created>
  <dcterms:modified xsi:type="dcterms:W3CDTF">2026-10-26T04:30:40Z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0x010100B42C5501B1BBBE49AB490AC631911E42</vt:lpwstr>
  </property>
</Properties>
</file>